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nents &amp; Tools" sheetId="1" r:id="rId5"/>
    <sheet state="visible" name="Copy of Components &amp; Tools" sheetId="2" r:id="rId6"/>
    <sheet state="visible" name="PC Specs" sheetId="3" r:id="rId7"/>
  </sheets>
  <definedNames/>
  <calcPr/>
</workbook>
</file>

<file path=xl/sharedStrings.xml><?xml version="1.0" encoding="utf-8"?>
<sst xmlns="http://schemas.openxmlformats.org/spreadsheetml/2006/main" count="773" uniqueCount="312">
  <si>
    <t>Component name</t>
  </si>
  <si>
    <t>Count</t>
  </si>
  <si>
    <t>Tools</t>
  </si>
  <si>
    <t>count</t>
  </si>
  <si>
    <t xml:space="preserve">Maker's space </t>
  </si>
  <si>
    <t>3D Printer - Bambu Lab P1S</t>
  </si>
  <si>
    <t>1 pc</t>
  </si>
  <si>
    <t>Components Cabinet</t>
  </si>
  <si>
    <t>Paint Brush</t>
  </si>
  <si>
    <t>Glue stick</t>
  </si>
  <si>
    <t>Adafruit Powerboost 1000c</t>
  </si>
  <si>
    <t>Wrench set</t>
  </si>
  <si>
    <t>pack of 6</t>
  </si>
  <si>
    <t>10.1 inch LCD display</t>
  </si>
  <si>
    <t>Adjustable wrench</t>
  </si>
  <si>
    <t>Ultrasonic sensors</t>
  </si>
  <si>
    <t>8 pcs</t>
  </si>
  <si>
    <t>Long screw drivers</t>
  </si>
  <si>
    <t>Jumper wires</t>
  </si>
  <si>
    <t>multiple</t>
  </si>
  <si>
    <t>spanner set</t>
  </si>
  <si>
    <t>pack of 10</t>
  </si>
  <si>
    <t>Stripboard 3x2</t>
  </si>
  <si>
    <t>12 pcs</t>
  </si>
  <si>
    <t xml:space="preserve">Multimeter </t>
  </si>
  <si>
    <t>Wires</t>
  </si>
  <si>
    <t>1 metre</t>
  </si>
  <si>
    <t>Gloves pair</t>
  </si>
  <si>
    <t xml:space="preserve"> Assorted Resistors </t>
  </si>
  <si>
    <t>200 pcs</t>
  </si>
  <si>
    <t>Assorted Wires 2 meters</t>
  </si>
  <si>
    <t>LDR</t>
  </si>
  <si>
    <t>30 pcs</t>
  </si>
  <si>
    <t>Lithium battery 18650</t>
  </si>
  <si>
    <t>2 pcs</t>
  </si>
  <si>
    <t>Lithium battery 18650 holder case</t>
  </si>
  <si>
    <t>Spdt Slide switch</t>
  </si>
  <si>
    <t>50 pcs</t>
  </si>
  <si>
    <t>Fan 5V</t>
  </si>
  <si>
    <t xml:space="preserve">1 pc </t>
  </si>
  <si>
    <t>Buck Converter module</t>
  </si>
  <si>
    <t>Snap-on Chest</t>
  </si>
  <si>
    <t>5V 2A Lithium Battery Charge</t>
  </si>
  <si>
    <t>Glue gun</t>
  </si>
  <si>
    <t>Wireless RF remote control switch module</t>
  </si>
  <si>
    <t>2 pc</t>
  </si>
  <si>
    <t>Neol Metal Disoldering Pump</t>
  </si>
  <si>
    <t>USB to Type C converter</t>
  </si>
  <si>
    <t>Heat Gun</t>
  </si>
  <si>
    <t>TP4056 Lithium battery charging module</t>
  </si>
  <si>
    <t>Side cutters</t>
  </si>
  <si>
    <t>KP 043450P 1000 mAH</t>
  </si>
  <si>
    <t>HackSaw blade</t>
  </si>
  <si>
    <t>MPU 6050</t>
  </si>
  <si>
    <t>Soldering flux</t>
  </si>
  <si>
    <t>Digispark Kickstarter ATtiny85 USB deve board</t>
  </si>
  <si>
    <t>1pc</t>
  </si>
  <si>
    <t>tweezers</t>
  </si>
  <si>
    <t>Micro USB to Type C</t>
  </si>
  <si>
    <t>Scalpel knife</t>
  </si>
  <si>
    <t>APDS 9930</t>
  </si>
  <si>
    <t>FT232RL USB to TTL Serial Adapter module</t>
  </si>
  <si>
    <t>3 pc</t>
  </si>
  <si>
    <t xml:space="preserve">3D Printer Cabinet </t>
  </si>
  <si>
    <t>Atmel ATmega328p -PU 8-bit microcontroller</t>
  </si>
  <si>
    <t>ESP8266 wifi module</t>
  </si>
  <si>
    <t>6 pc</t>
  </si>
  <si>
    <t>Thermal Paste</t>
  </si>
  <si>
    <t>SG 90 Servo</t>
  </si>
  <si>
    <t>24 pc</t>
  </si>
  <si>
    <t>Sandpaper file tool</t>
  </si>
  <si>
    <t>Sound sensor</t>
  </si>
  <si>
    <t>Superglue</t>
  </si>
  <si>
    <t>PIR</t>
  </si>
  <si>
    <t>Heatsink tubing</t>
  </si>
  <si>
    <t>1 pack</t>
  </si>
  <si>
    <t>Realtime Clock</t>
  </si>
  <si>
    <t>Soldering iron kit</t>
  </si>
  <si>
    <t>Accelerometer 3 axis</t>
  </si>
  <si>
    <t>solder 50 gms</t>
  </si>
  <si>
    <t>LED</t>
  </si>
  <si>
    <t>few</t>
  </si>
  <si>
    <t>Buzzer</t>
  </si>
  <si>
    <t>14 pc</t>
  </si>
  <si>
    <t>General purpose Cabinet</t>
  </si>
  <si>
    <t>Light sensor</t>
  </si>
  <si>
    <t>Acetone</t>
  </si>
  <si>
    <t>Potentiometer</t>
  </si>
  <si>
    <t>8 pc</t>
  </si>
  <si>
    <t>Vaseline</t>
  </si>
  <si>
    <t>MCP3008 10-bit Analog-to-Digital Convertor</t>
  </si>
  <si>
    <t>Multipurpose cleaner brush</t>
  </si>
  <si>
    <t>IR sensor</t>
  </si>
  <si>
    <t>4 pc</t>
  </si>
  <si>
    <t>Cotton roll 50 gms</t>
  </si>
  <si>
    <t>GSM Module/ GPS</t>
  </si>
  <si>
    <t>Insulation tape 8m</t>
  </si>
  <si>
    <t>Raspberry Pi PICO</t>
  </si>
  <si>
    <t>GPS Sensor</t>
  </si>
  <si>
    <t>Gas Sensor</t>
  </si>
  <si>
    <t>12 pc</t>
  </si>
  <si>
    <t>Antenna</t>
  </si>
  <si>
    <t>LoRaWAN deve board</t>
  </si>
  <si>
    <t>Weight Sensor</t>
  </si>
  <si>
    <t>Single Channel Relax</t>
  </si>
  <si>
    <t>Ardunio Camera Module</t>
  </si>
  <si>
    <t xml:space="preserve">Bluetooth module </t>
  </si>
  <si>
    <t>L293D motor driver</t>
  </si>
  <si>
    <t>AZ-Delivery RFID kit</t>
  </si>
  <si>
    <t>Push Button</t>
  </si>
  <si>
    <t>Touch Sensor</t>
  </si>
  <si>
    <t xml:space="preserve">Arduino Uno </t>
  </si>
  <si>
    <t>Uno NANO Mega</t>
  </si>
  <si>
    <t>DC motors</t>
  </si>
  <si>
    <t>Stepper board</t>
  </si>
  <si>
    <t>Breakout Board and Motor Driver Board</t>
  </si>
  <si>
    <t>Ethernet Shield Arduino</t>
  </si>
  <si>
    <t>Temperature Sensor</t>
  </si>
  <si>
    <t>5 pc</t>
  </si>
  <si>
    <t>Magnetic Reed Switch module</t>
  </si>
  <si>
    <t>BH  1750</t>
  </si>
  <si>
    <t>BMP 180</t>
  </si>
  <si>
    <t xml:space="preserve">Vibration Switch </t>
  </si>
  <si>
    <t xml:space="preserve">XBee USB Adapter Board </t>
  </si>
  <si>
    <t>Digi XBee 3 Zigbee 3 RF module</t>
  </si>
  <si>
    <t>Fingerprint module</t>
  </si>
  <si>
    <t>Pressure Sensor</t>
  </si>
  <si>
    <t>Pulse sensor</t>
  </si>
  <si>
    <t>JoyStick</t>
  </si>
  <si>
    <t>Hall Sensor</t>
  </si>
  <si>
    <t>IR remote</t>
  </si>
  <si>
    <t>ESP32</t>
  </si>
  <si>
    <t>Mini breadboard</t>
  </si>
  <si>
    <t xml:space="preserve">Half breadboard </t>
  </si>
  <si>
    <t>Node MCU</t>
  </si>
  <si>
    <t>9 pc</t>
  </si>
  <si>
    <t>LCD display</t>
  </si>
  <si>
    <t>Mini LCD</t>
  </si>
  <si>
    <t>Relay module 4</t>
  </si>
  <si>
    <t>Relay module 2</t>
  </si>
  <si>
    <t>Relay module 1</t>
  </si>
  <si>
    <t>Breadboard</t>
  </si>
  <si>
    <t>10 pc</t>
  </si>
  <si>
    <t>Clear Plastic</t>
  </si>
  <si>
    <t>1 packet</t>
  </si>
  <si>
    <t xml:space="preserve">USB Adapter brick </t>
  </si>
  <si>
    <t>Compact Charger B3 pro</t>
  </si>
  <si>
    <t>Raspberry Pi Power supply 27W usb C</t>
  </si>
  <si>
    <t>VGA to HDMI converter</t>
  </si>
  <si>
    <t>Micro USB Charger</t>
  </si>
  <si>
    <t>HDMI to Micro USB</t>
  </si>
  <si>
    <t>VGA to AUX</t>
  </si>
  <si>
    <t>DC Fan</t>
  </si>
  <si>
    <t>Raspberry Pi 5</t>
  </si>
  <si>
    <t>Raspberry Pi 4B</t>
  </si>
  <si>
    <t>Intel neural compute stick 2</t>
  </si>
  <si>
    <t xml:space="preserve">BBC Micro-bit </t>
  </si>
  <si>
    <t>Raspberry Pi case</t>
  </si>
  <si>
    <t xml:space="preserve">Coral USB Accelorator </t>
  </si>
  <si>
    <t>Nvidia Jetson Nano Dev Kit</t>
  </si>
  <si>
    <t>Raspberry Pi 3</t>
  </si>
  <si>
    <t xml:space="preserve">Raspberry Pi 4 </t>
  </si>
  <si>
    <t>Dual Raspberry Pi case</t>
  </si>
  <si>
    <t>VSDSqaurdron Mini</t>
  </si>
  <si>
    <t>Tools Cabinet</t>
  </si>
  <si>
    <t>Multiple</t>
  </si>
  <si>
    <t>Half bread board box</t>
  </si>
  <si>
    <t>Transistors</t>
  </si>
  <si>
    <t>Few</t>
  </si>
  <si>
    <t>switch buttons</t>
  </si>
  <si>
    <t>RGBWY Leds</t>
  </si>
  <si>
    <t>STM32 NUCLEO F303RE</t>
  </si>
  <si>
    <t>STM32 NUCLEO F410RB</t>
  </si>
  <si>
    <t>HDMI Cable</t>
  </si>
  <si>
    <t>VGA Cable</t>
  </si>
  <si>
    <t>Power cable</t>
  </si>
  <si>
    <t>HDMI to MicroUSB</t>
  </si>
  <si>
    <t>USB to type C</t>
  </si>
  <si>
    <t>Ethernet cable</t>
  </si>
  <si>
    <t>Raspberry pi 5</t>
  </si>
  <si>
    <t xml:space="preserve">Mouse </t>
  </si>
  <si>
    <t>Keyboard</t>
  </si>
  <si>
    <t>FPGA DE-10 Standard</t>
  </si>
  <si>
    <t>Snap-on Chest (red in color)</t>
  </si>
  <si>
    <t>Mother board 256MB Ram</t>
  </si>
  <si>
    <t>Jumper Wires</t>
  </si>
  <si>
    <t>Multimeters</t>
  </si>
  <si>
    <t>3D - Printed Cabinet</t>
  </si>
  <si>
    <t>USB to USB</t>
  </si>
  <si>
    <t>USB to USB male</t>
  </si>
  <si>
    <t>USB to Micro USB</t>
  </si>
  <si>
    <t>VGA cable</t>
  </si>
  <si>
    <t>L298N Motor Driver Module</t>
  </si>
  <si>
    <t>DHT11 Temperature Sensor</t>
  </si>
  <si>
    <t>Power Cable</t>
  </si>
  <si>
    <t>Serplex® for 3D Printer Filament Storage Bags with Manual Air Pump &amp; 4 Sealing Clips 30x34cm Reusable Vacuum Storage Bag for PLA ABS PETG Filaments Anti-Moisture Vacuum Filament Storage Bag</t>
  </si>
  <si>
    <t xml:space="preserve">10Pcs </t>
  </si>
  <si>
    <t>Serplex® 3D Printer Tool Kit with Storage Bag, Includes Scrapers, Tweezers, Pliers, Brushes, Nozzle Cleaning Tools, Wrenches &amp;More, 3D Printer Repair Maintenance Kit</t>
  </si>
  <si>
    <t>3D printer Filament 250gms LIGHT GREEN</t>
  </si>
  <si>
    <t>1 pcs</t>
  </si>
  <si>
    <t>3D printer Filament 250gms ORANGE</t>
  </si>
  <si>
    <t>3D printer Filament 250gms WHITE</t>
  </si>
  <si>
    <t>3D printer Filament 1KG FOREST GREEN</t>
  </si>
  <si>
    <t>3D printer Filament 1KG MIDNIGHT BLACK</t>
  </si>
  <si>
    <t>Thinkqbator IoT Kit Inventory</t>
  </si>
  <si>
    <t>Raspberry Pi 5 (4GB variant), R-Pi Cam kit</t>
  </si>
  <si>
    <t>Edgehax 4G Module</t>
  </si>
  <si>
    <t>Water pump</t>
  </si>
  <si>
    <t>Water Flow rate sensor</t>
  </si>
  <si>
    <t>Edgehax sensor dock</t>
  </si>
  <si>
    <t>Active buzzer</t>
  </si>
  <si>
    <t>Motors &amp; Motor drivers</t>
  </si>
  <si>
    <t>ULN2003AN motor driver module</t>
  </si>
  <si>
    <t>8 (2 packs of 4)</t>
  </si>
  <si>
    <t>8833C motor driver modules</t>
  </si>
  <si>
    <t>L293 Motor driver</t>
  </si>
  <si>
    <t>5V Stepper motors (28BYJ-48)</t>
  </si>
  <si>
    <t>5v DC motors</t>
  </si>
  <si>
    <t>SG90 Servo motor</t>
  </si>
  <si>
    <t>Sensors</t>
  </si>
  <si>
    <t>IR LED sensor</t>
  </si>
  <si>
    <t>DHT11 humidity sensor</t>
  </si>
  <si>
    <t>MQ-2 Gas sensor</t>
  </si>
  <si>
    <t>Relay module</t>
  </si>
  <si>
    <t>Light detector/ LDR module</t>
  </si>
  <si>
    <t>Soil moisture level sensor</t>
  </si>
  <si>
    <t>Moisture sensor</t>
  </si>
  <si>
    <t>LEDs &amp; Resistors, Breadboard, Jumper cables, misc</t>
  </si>
  <si>
    <t>RGB LED, ARGB LED</t>
  </si>
  <si>
    <t>1 pack of 20, Pack of 3</t>
  </si>
  <si>
    <t>Push button set</t>
  </si>
  <si>
    <t>Resistor set</t>
  </si>
  <si>
    <t>Jumper cables (M-M, M-F, F-F)</t>
  </si>
  <si>
    <t>1 set of 40 cables each</t>
  </si>
  <si>
    <t>Tyres for Rover</t>
  </si>
  <si>
    <t>Unit Price</t>
  </si>
  <si>
    <t>Total Price</t>
  </si>
  <si>
    <t>Location</t>
  </si>
  <si>
    <t>SL No.</t>
  </si>
  <si>
    <t>Name</t>
  </si>
  <si>
    <t>SRN</t>
  </si>
  <si>
    <t>Branch</t>
  </si>
  <si>
    <t>SEM</t>
  </si>
  <si>
    <t>Mobile no.</t>
  </si>
  <si>
    <t>Component taken</t>
  </si>
  <si>
    <t>Quantity</t>
  </si>
  <si>
    <t>Date taken</t>
  </si>
  <si>
    <t>Date returned</t>
  </si>
  <si>
    <t>Wires 1 metre</t>
  </si>
  <si>
    <t>Digispark Kickstarter ATtiny85 USB dev board</t>
  </si>
  <si>
    <t>LoRaWAN dev board</t>
  </si>
  <si>
    <t>Single Channel Relay</t>
  </si>
  <si>
    <t xml:space="preserve">logitech Mouse </t>
  </si>
  <si>
    <t>Logitech Keyboard</t>
  </si>
  <si>
    <t>Maker's Space</t>
  </si>
  <si>
    <t>RGB LED, ARGB LED set</t>
  </si>
  <si>
    <t>Jumper cables (M-M, M-F, F-F) set</t>
  </si>
  <si>
    <t>Wrench set pack</t>
  </si>
  <si>
    <t>spanner set pack</t>
  </si>
  <si>
    <t>Heatsink tubing pack</t>
  </si>
  <si>
    <t>Nvidia Jetson AGX ORIN 64GB Developer Kit</t>
  </si>
  <si>
    <t>CIE Office Cabin</t>
  </si>
  <si>
    <t>Seagate 2 TB External SSD</t>
  </si>
  <si>
    <t>C-Konnect - 3 in 1 USB C HUB</t>
  </si>
  <si>
    <t>HP Webcam w100</t>
  </si>
  <si>
    <t>3 Pin power cable Chinese plug point</t>
  </si>
  <si>
    <t>Eveready 9v battery 1216</t>
  </si>
  <si>
    <t>Sandisk 64 GB Micro SD Card</t>
  </si>
  <si>
    <t xml:space="preserve">EZCast 2 </t>
  </si>
  <si>
    <t>Portonics Extension box - Spike buster</t>
  </si>
  <si>
    <t>Digitek LED Ring Light with stand</t>
  </si>
  <si>
    <t>Digitek DV Tripod</t>
  </si>
  <si>
    <t>Total</t>
  </si>
  <si>
    <t>CIE Workspace</t>
  </si>
  <si>
    <t>Team</t>
  </si>
  <si>
    <t>PCs</t>
  </si>
  <si>
    <t>H/W Specs</t>
  </si>
  <si>
    <t>OS</t>
  </si>
  <si>
    <t>EDA Tools</t>
  </si>
  <si>
    <t>Silicon</t>
  </si>
  <si>
    <t>PC 1 - Simics</t>
  </si>
  <si>
    <t>i5 8th gen</t>
  </si>
  <si>
    <t>Ubuntu 22.04 Installed on HDD</t>
  </si>
  <si>
    <t>Vivado 2024.2</t>
  </si>
  <si>
    <t>32GB RAM</t>
  </si>
  <si>
    <t>1 TB HDD</t>
  </si>
  <si>
    <t>PC 2</t>
  </si>
  <si>
    <t>i7 12th gen</t>
  </si>
  <si>
    <t>Ubuntu 24.02 installed on SATA SSD</t>
  </si>
  <si>
    <t>GTX 1650 GPU</t>
  </si>
  <si>
    <t>RedHat OS Installed on NVME</t>
  </si>
  <si>
    <t>1 TB SATA SSD</t>
  </si>
  <si>
    <t xml:space="preserve">1 TB NVME </t>
  </si>
  <si>
    <t>PC 3 - IHFC</t>
  </si>
  <si>
    <t>Ryzen 9 7900x</t>
  </si>
  <si>
    <t>Windows 11 pro on NVME #1</t>
  </si>
  <si>
    <t>32GB DDR5 RAM</t>
  </si>
  <si>
    <t>RTX 5070 12GB VRAM GPU</t>
  </si>
  <si>
    <t>1 TB NVME #1</t>
  </si>
  <si>
    <t>RedHat OS on NVME #2</t>
  </si>
  <si>
    <t>Cadence toolsuite</t>
  </si>
  <si>
    <t>1 TB NVME #2</t>
  </si>
  <si>
    <t>CIE App</t>
  </si>
  <si>
    <t xml:space="preserve">PC 4 </t>
  </si>
  <si>
    <t>i7 9700</t>
  </si>
  <si>
    <t>Windows 11 (Ubuntu to be installed)</t>
  </si>
  <si>
    <t xml:space="preserve">32GB DDR4 </t>
  </si>
  <si>
    <t>512 NVME</t>
  </si>
  <si>
    <t>PC 5</t>
  </si>
  <si>
    <t>Ryzen 7 7800x</t>
  </si>
  <si>
    <t>Windows 11</t>
  </si>
  <si>
    <t>1 TB NVME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</si>
</sst>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Google Sans Text"/>
    </font>
    <font>
      <b/>
      <color theme="1"/>
      <name val="Google Sans Text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2" fillId="2" fontId="1" numFmtId="0" xfId="0" applyAlignment="1" applyBorder="1" applyFill="1" applyFont="1">
      <alignment horizontal="center" readingOrder="0" shrinkToFit="0" wrapText="1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readingOrder="0" shrinkToFit="0" wrapText="1"/>
    </xf>
    <xf borderId="2" fillId="2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2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readingOrder="0" shrinkToFit="0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164" xfId="0" applyAlignment="1" applyBorder="1" applyFont="1" applyNumberFormat="1">
      <alignment horizontal="center" readingOrder="0" shrinkToFit="0" wrapText="1"/>
    </xf>
    <xf borderId="1" fillId="4" fontId="1" numFmtId="0" xfId="0" applyAlignment="1" applyBorder="1" applyFont="1">
      <alignment readingOrder="0" shrinkToFit="0" wrapText="1"/>
    </xf>
    <xf borderId="0" fillId="4" fontId="1" numFmtId="0" xfId="0" applyAlignment="1" applyFont="1">
      <alignment readingOrder="0" shrinkToFit="0" wrapText="1"/>
    </xf>
    <xf borderId="0" fillId="3" fontId="6" numFmtId="0" xfId="0" applyAlignment="1" applyFont="1">
      <alignment readingOrder="0" vertical="bottom"/>
    </xf>
    <xf borderId="0" fillId="5" fontId="6" numFmtId="0" xfId="0" applyAlignment="1" applyFill="1" applyFont="1">
      <alignment readingOrder="0" vertical="bottom"/>
    </xf>
    <xf borderId="0" fillId="5" fontId="6" numFmtId="0" xfId="0" applyAlignment="1" applyFont="1">
      <alignment vertical="bottom"/>
    </xf>
    <xf borderId="1" fillId="0" fontId="2" numFmtId="164" xfId="0" applyAlignment="1" applyBorder="1" applyFont="1" applyNumberFormat="1">
      <alignment readingOrder="0" shrinkToFit="0" wrapText="1"/>
    </xf>
    <xf borderId="1" fillId="0" fontId="1" numFmtId="164" xfId="0" applyAlignment="1" applyBorder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0" fontId="2" numFmtId="164" xfId="0" applyAlignment="1" applyBorder="1" applyFont="1" applyNumberFormat="1">
      <alignment readingOrder="0"/>
    </xf>
    <xf borderId="0" fillId="0" fontId="2" numFmtId="164" xfId="0" applyAlignment="1" applyFont="1" applyNumberForma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164" xfId="0" applyAlignment="1" applyBorder="1" applyFont="1" applyNumberForma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shrinkToFit="0" wrapText="1"/>
    </xf>
    <xf borderId="1" fillId="0" fontId="1" numFmtId="0" xfId="0" applyAlignment="1" applyBorder="1" applyFont="1">
      <alignment shrinkToFit="0" wrapText="1"/>
    </xf>
    <xf borderId="0" fillId="5" fontId="1" numFmtId="0" xfId="0" applyAlignment="1" applyFont="1">
      <alignment horizontal="center" readingOrder="0"/>
    </xf>
    <xf borderId="1" fillId="2" fontId="1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3" numFmtId="0" xfId="0" applyBorder="1" applyFont="1"/>
    <xf borderId="7" fillId="0" fontId="3" numFmtId="0" xfId="0" applyBorder="1" applyFont="1"/>
    <xf borderId="5" fillId="0" fontId="2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18.38"/>
    <col customWidth="1" min="3" max="3" width="31.0"/>
    <col customWidth="1" min="4" max="4" width="26.13"/>
    <col customWidth="1" min="7" max="7" width="13.38"/>
    <col customWidth="1" min="8" max="8" width="22.75"/>
    <col customWidth="1" min="9" max="9" width="29.75"/>
    <col customWidth="1" min="10" max="10" width="15.5"/>
  </cols>
  <sheetData>
    <row r="1">
      <c r="A1" s="1" t="s">
        <v>0</v>
      </c>
      <c r="B1" s="2" t="s">
        <v>1</v>
      </c>
      <c r="C1" s="1"/>
      <c r="D1" s="1" t="s">
        <v>2</v>
      </c>
      <c r="E1" s="1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4</v>
      </c>
      <c r="B2" s="5"/>
      <c r="C2" s="5"/>
      <c r="D2" s="5"/>
      <c r="E2" s="6"/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8" t="s">
        <v>5</v>
      </c>
      <c r="B3" s="9" t="s">
        <v>6</v>
      </c>
      <c r="C3" s="8"/>
      <c r="D3" s="4" t="s">
        <v>7</v>
      </c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8"/>
      <c r="B4" s="9"/>
      <c r="C4" s="8"/>
      <c r="D4" s="8" t="s">
        <v>8</v>
      </c>
      <c r="E4" s="8">
        <v>1.0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4" t="s">
        <v>7</v>
      </c>
      <c r="B5" s="6"/>
      <c r="C5" s="10"/>
      <c r="D5" s="8" t="s">
        <v>9</v>
      </c>
      <c r="E5" s="8">
        <v>8.0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11" t="s">
        <v>10</v>
      </c>
      <c r="B6" s="12">
        <v>1.0</v>
      </c>
      <c r="C6" s="13"/>
      <c r="D6" s="8" t="s">
        <v>11</v>
      </c>
      <c r="E6" s="8" t="s">
        <v>12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11" t="s">
        <v>13</v>
      </c>
      <c r="B7" s="12" t="s">
        <v>6</v>
      </c>
      <c r="C7" s="13"/>
      <c r="D7" s="8" t="s">
        <v>14</v>
      </c>
      <c r="E7" s="8">
        <v>1.0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8" t="s">
        <v>15</v>
      </c>
      <c r="B8" s="9" t="s">
        <v>16</v>
      </c>
      <c r="C8" s="10"/>
      <c r="D8" s="8" t="s">
        <v>17</v>
      </c>
      <c r="E8" s="8">
        <v>2.0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8" t="s">
        <v>18</v>
      </c>
      <c r="B9" s="9" t="s">
        <v>19</v>
      </c>
      <c r="C9" s="10"/>
      <c r="D9" s="8" t="s">
        <v>20</v>
      </c>
      <c r="E9" s="8" t="s">
        <v>21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8" t="s">
        <v>22</v>
      </c>
      <c r="B10" s="9" t="s">
        <v>23</v>
      </c>
      <c r="C10" s="10"/>
      <c r="D10" s="8" t="s">
        <v>24</v>
      </c>
      <c r="E10" s="8">
        <v>1.0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8" t="s">
        <v>25</v>
      </c>
      <c r="B11" s="9" t="s">
        <v>26</v>
      </c>
      <c r="C11" s="10"/>
      <c r="D11" s="8" t="s">
        <v>27</v>
      </c>
      <c r="E11" s="8">
        <v>3.0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8" t="s">
        <v>28</v>
      </c>
      <c r="B12" s="9" t="s">
        <v>29</v>
      </c>
      <c r="C12" s="10"/>
      <c r="D12" s="11" t="s">
        <v>30</v>
      </c>
      <c r="E12" s="11">
        <v>5.0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8" t="s">
        <v>31</v>
      </c>
      <c r="B13" s="9" t="s">
        <v>32</v>
      </c>
      <c r="C13" s="10"/>
      <c r="D13" s="10"/>
      <c r="E13" s="10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8" t="s">
        <v>33</v>
      </c>
      <c r="B14" s="9" t="s">
        <v>34</v>
      </c>
      <c r="C14" s="10"/>
      <c r="D14" s="10"/>
      <c r="E14" s="10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8" t="s">
        <v>35</v>
      </c>
      <c r="B15" s="9" t="s">
        <v>34</v>
      </c>
      <c r="C15" s="10"/>
      <c r="D15" s="10"/>
      <c r="E15" s="10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8" t="s">
        <v>36</v>
      </c>
      <c r="B16" s="9" t="s">
        <v>37</v>
      </c>
      <c r="C16" s="10"/>
      <c r="D16" s="10"/>
      <c r="E16" s="10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8" t="s">
        <v>38</v>
      </c>
      <c r="B17" s="9" t="s">
        <v>39</v>
      </c>
      <c r="C17" s="10"/>
      <c r="D17" s="10"/>
      <c r="E17" s="10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8" t="s">
        <v>40</v>
      </c>
      <c r="B18" s="9" t="s">
        <v>6</v>
      </c>
      <c r="C18" s="10"/>
      <c r="D18" s="4" t="s">
        <v>41</v>
      </c>
      <c r="E18" s="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8" t="s">
        <v>42</v>
      </c>
      <c r="B19" s="9" t="s">
        <v>6</v>
      </c>
      <c r="C19" s="10"/>
      <c r="D19" s="8" t="s">
        <v>43</v>
      </c>
      <c r="E19" s="8">
        <v>2.0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8" t="s">
        <v>44</v>
      </c>
      <c r="B20" s="9" t="s">
        <v>45</v>
      </c>
      <c r="C20" s="10"/>
      <c r="D20" s="8" t="s">
        <v>46</v>
      </c>
      <c r="E20" s="8">
        <v>2.0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8" t="s">
        <v>47</v>
      </c>
      <c r="B21" s="9" t="s">
        <v>6</v>
      </c>
      <c r="C21" s="10"/>
      <c r="D21" s="8" t="s">
        <v>48</v>
      </c>
      <c r="E21" s="8">
        <v>1.0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8" t="s">
        <v>49</v>
      </c>
      <c r="B22" s="9" t="s">
        <v>45</v>
      </c>
      <c r="C22" s="10"/>
      <c r="D22" s="8" t="s">
        <v>50</v>
      </c>
      <c r="E22" s="8">
        <v>4.0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8" t="s">
        <v>51</v>
      </c>
      <c r="B23" s="9" t="s">
        <v>45</v>
      </c>
      <c r="C23" s="10"/>
      <c r="D23" s="8" t="s">
        <v>52</v>
      </c>
      <c r="E23" s="8">
        <v>2.0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8" t="s">
        <v>53</v>
      </c>
      <c r="B24" s="9" t="s">
        <v>45</v>
      </c>
      <c r="C24" s="10"/>
      <c r="D24" s="8" t="s">
        <v>54</v>
      </c>
      <c r="E24" s="8">
        <v>1.0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8" t="s">
        <v>55</v>
      </c>
      <c r="B25" s="9" t="s">
        <v>56</v>
      </c>
      <c r="C25" s="10"/>
      <c r="D25" s="8" t="s">
        <v>57</v>
      </c>
      <c r="E25" s="8">
        <v>1.0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8" t="s">
        <v>58</v>
      </c>
      <c r="B26" s="9" t="s">
        <v>56</v>
      </c>
      <c r="C26" s="10"/>
      <c r="D26" s="8" t="s">
        <v>59</v>
      </c>
      <c r="E26" s="8">
        <v>1.0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8" t="s">
        <v>60</v>
      </c>
      <c r="B27" s="9" t="s">
        <v>45</v>
      </c>
      <c r="C27" s="10"/>
      <c r="D27" s="10"/>
      <c r="E27" s="10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8" t="s">
        <v>61</v>
      </c>
      <c r="B28" s="9" t="s">
        <v>62</v>
      </c>
      <c r="C28" s="10"/>
      <c r="D28" s="4" t="s">
        <v>63</v>
      </c>
      <c r="E28" s="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8" t="s">
        <v>64</v>
      </c>
      <c r="B29" s="9" t="s">
        <v>6</v>
      </c>
      <c r="C29" s="10"/>
      <c r="D29" s="8" t="s">
        <v>50</v>
      </c>
      <c r="E29" s="8">
        <v>1.0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8" t="s">
        <v>65</v>
      </c>
      <c r="B30" s="9" t="s">
        <v>66</v>
      </c>
      <c r="C30" s="10"/>
      <c r="D30" s="8" t="s">
        <v>67</v>
      </c>
      <c r="E30" s="8">
        <v>1.0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8" t="s">
        <v>68</v>
      </c>
      <c r="B31" s="9" t="s">
        <v>69</v>
      </c>
      <c r="C31" s="10"/>
      <c r="D31" s="8" t="s">
        <v>70</v>
      </c>
      <c r="E31" s="8">
        <v>1.0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8" t="s">
        <v>71</v>
      </c>
      <c r="B32" s="9" t="s">
        <v>45</v>
      </c>
      <c r="C32" s="10"/>
      <c r="D32" s="8" t="s">
        <v>72</v>
      </c>
      <c r="E32" s="8">
        <v>1.0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8" t="s">
        <v>73</v>
      </c>
      <c r="B33" s="9" t="s">
        <v>62</v>
      </c>
      <c r="C33" s="10"/>
      <c r="D33" s="8" t="s">
        <v>74</v>
      </c>
      <c r="E33" s="8" t="s">
        <v>75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8" t="s">
        <v>76</v>
      </c>
      <c r="B34" s="9" t="s">
        <v>45</v>
      </c>
      <c r="C34" s="10"/>
      <c r="D34" s="8" t="s">
        <v>77</v>
      </c>
      <c r="E34" s="8">
        <v>1.0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8" t="s">
        <v>78</v>
      </c>
      <c r="B35" s="9" t="s">
        <v>45</v>
      </c>
      <c r="C35" s="10"/>
      <c r="D35" s="8" t="s">
        <v>79</v>
      </c>
      <c r="E35" s="8">
        <v>1.0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8" t="s">
        <v>80</v>
      </c>
      <c r="B36" s="9" t="s">
        <v>81</v>
      </c>
      <c r="C36" s="10"/>
      <c r="D36" s="10"/>
      <c r="E36" s="10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>
      <c r="A37" s="8" t="s">
        <v>82</v>
      </c>
      <c r="B37" s="9" t="s">
        <v>83</v>
      </c>
      <c r="C37" s="10"/>
      <c r="D37" s="14" t="s">
        <v>84</v>
      </c>
      <c r="E37" s="6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8" t="s">
        <v>85</v>
      </c>
      <c r="B38" s="9" t="s">
        <v>45</v>
      </c>
      <c r="C38" s="10"/>
      <c r="D38" s="8" t="s">
        <v>86</v>
      </c>
      <c r="E38" s="8">
        <v>1.0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8" t="s">
        <v>87</v>
      </c>
      <c r="B39" s="9" t="s">
        <v>88</v>
      </c>
      <c r="C39" s="10"/>
      <c r="D39" s="8" t="s">
        <v>89</v>
      </c>
      <c r="E39" s="8">
        <v>1.0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8" t="s">
        <v>90</v>
      </c>
      <c r="B40" s="9" t="s">
        <v>6</v>
      </c>
      <c r="C40" s="10"/>
      <c r="D40" s="8" t="s">
        <v>91</v>
      </c>
      <c r="E40" s="8">
        <v>1.0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8" t="s">
        <v>92</v>
      </c>
      <c r="B41" s="9" t="s">
        <v>93</v>
      </c>
      <c r="C41" s="10"/>
      <c r="D41" s="8" t="s">
        <v>94</v>
      </c>
      <c r="E41" s="8">
        <v>2.0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8" t="s">
        <v>95</v>
      </c>
      <c r="B42" s="9" t="s">
        <v>45</v>
      </c>
      <c r="C42" s="10"/>
      <c r="D42" s="8" t="s">
        <v>96</v>
      </c>
      <c r="E42" s="8">
        <v>1.0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8" t="s">
        <v>97</v>
      </c>
      <c r="B43" s="9" t="s">
        <v>62</v>
      </c>
      <c r="C43" s="10"/>
      <c r="D43" s="10"/>
      <c r="E43" s="10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8" t="s">
        <v>98</v>
      </c>
      <c r="B44" s="9" t="s">
        <v>93</v>
      </c>
      <c r="C44" s="10"/>
      <c r="D44" s="10"/>
      <c r="E44" s="10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8" t="s">
        <v>99</v>
      </c>
      <c r="B45" s="9" t="s">
        <v>100</v>
      </c>
      <c r="C45" s="10"/>
      <c r="D45" s="10"/>
      <c r="E45" s="10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8" t="s">
        <v>101</v>
      </c>
      <c r="B46" s="9" t="s">
        <v>6</v>
      </c>
      <c r="C46" s="10"/>
      <c r="D46" s="10"/>
      <c r="E46" s="10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8" t="s">
        <v>102</v>
      </c>
      <c r="B47" s="9" t="s">
        <v>6</v>
      </c>
      <c r="C47" s="10"/>
      <c r="D47" s="10"/>
      <c r="E47" s="10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8" t="s">
        <v>103</v>
      </c>
      <c r="B48" s="9" t="s">
        <v>6</v>
      </c>
      <c r="C48" s="10"/>
      <c r="D48" s="10"/>
      <c r="E48" s="10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8" t="s">
        <v>104</v>
      </c>
      <c r="B49" s="9" t="s">
        <v>6</v>
      </c>
      <c r="C49" s="10"/>
      <c r="D49" s="10"/>
      <c r="E49" s="10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8" t="s">
        <v>105</v>
      </c>
      <c r="B50" s="9" t="s">
        <v>45</v>
      </c>
      <c r="C50" s="10"/>
      <c r="D50" s="10"/>
      <c r="E50" s="10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8" t="s">
        <v>106</v>
      </c>
      <c r="B51" s="9" t="s">
        <v>93</v>
      </c>
      <c r="C51" s="10"/>
      <c r="D51" s="10"/>
      <c r="E51" s="10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8" t="s">
        <v>107</v>
      </c>
      <c r="B52" s="9" t="s">
        <v>45</v>
      </c>
      <c r="C52" s="10"/>
      <c r="D52" s="10"/>
      <c r="E52" s="10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>
      <c r="A53" s="8" t="s">
        <v>108</v>
      </c>
      <c r="B53" s="9" t="s">
        <v>45</v>
      </c>
      <c r="C53" s="10"/>
      <c r="D53" s="10"/>
      <c r="E53" s="10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>
      <c r="A54" s="8" t="s">
        <v>109</v>
      </c>
      <c r="B54" s="9" t="s">
        <v>6</v>
      </c>
      <c r="C54" s="10"/>
      <c r="D54" s="10"/>
      <c r="E54" s="10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>
      <c r="A55" s="8" t="s">
        <v>110</v>
      </c>
      <c r="B55" s="9" t="s">
        <v>62</v>
      </c>
      <c r="C55" s="10"/>
      <c r="D55" s="10"/>
      <c r="E55" s="1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>
      <c r="A56" s="8" t="s">
        <v>111</v>
      </c>
      <c r="B56" s="9" t="s">
        <v>93</v>
      </c>
      <c r="C56" s="10"/>
      <c r="D56" s="10"/>
      <c r="E56" s="10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>
      <c r="A57" s="8" t="s">
        <v>112</v>
      </c>
      <c r="B57" s="9" t="s">
        <v>45</v>
      </c>
      <c r="C57" s="10"/>
      <c r="D57" s="10"/>
      <c r="E57" s="10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>
      <c r="A58" s="8" t="s">
        <v>113</v>
      </c>
      <c r="B58" s="9" t="s">
        <v>88</v>
      </c>
      <c r="C58" s="10"/>
      <c r="D58" s="10"/>
      <c r="E58" s="10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>
      <c r="A59" s="8" t="s">
        <v>114</v>
      </c>
      <c r="B59" s="9" t="s">
        <v>45</v>
      </c>
      <c r="C59" s="10"/>
      <c r="D59" s="10"/>
      <c r="E59" s="10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>
      <c r="A60" s="8" t="s">
        <v>115</v>
      </c>
      <c r="B60" s="9" t="s">
        <v>93</v>
      </c>
      <c r="C60" s="10"/>
      <c r="D60" s="10"/>
      <c r="E60" s="10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>
      <c r="A61" s="8" t="s">
        <v>116</v>
      </c>
      <c r="B61" s="9" t="s">
        <v>45</v>
      </c>
      <c r="C61" s="10"/>
      <c r="D61" s="10"/>
      <c r="E61" s="1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>
      <c r="A62" s="8" t="s">
        <v>117</v>
      </c>
      <c r="B62" s="9" t="s">
        <v>118</v>
      </c>
      <c r="C62" s="10"/>
      <c r="D62" s="10"/>
      <c r="E62" s="1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>
      <c r="A63" s="8" t="s">
        <v>119</v>
      </c>
      <c r="B63" s="9" t="s">
        <v>6</v>
      </c>
      <c r="C63" s="10"/>
      <c r="D63" s="10"/>
      <c r="E63" s="1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>
      <c r="A64" s="8" t="s">
        <v>120</v>
      </c>
      <c r="B64" s="9" t="s">
        <v>6</v>
      </c>
      <c r="C64" s="10"/>
      <c r="D64" s="10"/>
      <c r="E64" s="1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>
      <c r="A65" s="8" t="s">
        <v>121</v>
      </c>
      <c r="B65" s="9" t="s">
        <v>6</v>
      </c>
      <c r="C65" s="10"/>
      <c r="D65" s="10"/>
      <c r="E65" s="1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>
      <c r="A66" s="8" t="s">
        <v>122</v>
      </c>
      <c r="B66" s="9" t="s">
        <v>62</v>
      </c>
      <c r="C66" s="10"/>
      <c r="D66" s="10"/>
      <c r="E66" s="1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>
      <c r="A67" s="8" t="s">
        <v>123</v>
      </c>
      <c r="B67" s="9" t="s">
        <v>45</v>
      </c>
      <c r="C67" s="10"/>
      <c r="D67" s="10"/>
      <c r="E67" s="1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>
      <c r="A68" s="8" t="s">
        <v>124</v>
      </c>
      <c r="B68" s="9" t="s">
        <v>45</v>
      </c>
      <c r="C68" s="10"/>
      <c r="D68" s="10"/>
      <c r="E68" s="1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>
      <c r="A69" s="8" t="s">
        <v>125</v>
      </c>
      <c r="B69" s="9" t="s">
        <v>6</v>
      </c>
      <c r="C69" s="10"/>
      <c r="D69" s="10"/>
      <c r="E69" s="1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>
      <c r="A70" s="8" t="s">
        <v>126</v>
      </c>
      <c r="B70" s="9" t="s">
        <v>6</v>
      </c>
      <c r="C70" s="10"/>
      <c r="D70" s="10"/>
      <c r="E70" s="1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>
      <c r="A71" s="8" t="s">
        <v>127</v>
      </c>
      <c r="B71" s="9" t="s">
        <v>6</v>
      </c>
      <c r="C71" s="10"/>
      <c r="D71" s="10"/>
      <c r="E71" s="1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>
      <c r="A72" s="8" t="s">
        <v>128</v>
      </c>
      <c r="B72" s="9" t="s">
        <v>45</v>
      </c>
      <c r="C72" s="10"/>
      <c r="D72" s="10"/>
      <c r="E72" s="1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>
      <c r="A73" s="8" t="s">
        <v>129</v>
      </c>
      <c r="B73" s="9" t="s">
        <v>45</v>
      </c>
      <c r="C73" s="10"/>
      <c r="D73" s="10"/>
      <c r="E73" s="1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>
      <c r="A74" s="8" t="s">
        <v>130</v>
      </c>
      <c r="B74" s="9" t="s">
        <v>45</v>
      </c>
      <c r="C74" s="10"/>
      <c r="D74" s="10"/>
      <c r="E74" s="10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>
      <c r="A75" s="8" t="s">
        <v>131</v>
      </c>
      <c r="B75" s="9" t="s">
        <v>45</v>
      </c>
      <c r="C75" s="10"/>
      <c r="D75" s="10"/>
      <c r="E75" s="10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>
      <c r="A76" s="8" t="s">
        <v>132</v>
      </c>
      <c r="B76" s="9" t="s">
        <v>6</v>
      </c>
      <c r="C76" s="10"/>
      <c r="D76" s="10"/>
      <c r="E76" s="10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8" t="s">
        <v>133</v>
      </c>
      <c r="B77" s="9" t="s">
        <v>118</v>
      </c>
      <c r="C77" s="10"/>
      <c r="D77" s="10"/>
      <c r="E77" s="10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8" t="s">
        <v>134</v>
      </c>
      <c r="B78" s="9" t="s">
        <v>135</v>
      </c>
      <c r="C78" s="10"/>
      <c r="D78" s="10"/>
      <c r="E78" s="10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8" t="s">
        <v>136</v>
      </c>
      <c r="B79" s="9" t="s">
        <v>118</v>
      </c>
      <c r="C79" s="10"/>
      <c r="D79" s="10"/>
      <c r="E79" s="10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8" t="s">
        <v>137</v>
      </c>
      <c r="B80" s="9" t="s">
        <v>6</v>
      </c>
      <c r="C80" s="10"/>
      <c r="D80" s="10"/>
      <c r="E80" s="10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8" t="s">
        <v>138</v>
      </c>
      <c r="B81" s="9" t="s">
        <v>62</v>
      </c>
      <c r="C81" s="10"/>
      <c r="D81" s="10"/>
      <c r="E81" s="10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8" t="s">
        <v>139</v>
      </c>
      <c r="B82" s="9" t="s">
        <v>62</v>
      </c>
      <c r="C82" s="10"/>
      <c r="D82" s="10"/>
      <c r="E82" s="10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8" t="s">
        <v>140</v>
      </c>
      <c r="B83" s="9" t="s">
        <v>62</v>
      </c>
      <c r="C83" s="10"/>
      <c r="D83" s="10"/>
      <c r="E83" s="10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8" t="s">
        <v>141</v>
      </c>
      <c r="B84" s="9" t="s">
        <v>142</v>
      </c>
      <c r="C84" s="10"/>
      <c r="D84" s="10"/>
      <c r="E84" s="10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8" t="s">
        <v>143</v>
      </c>
      <c r="B85" s="9" t="s">
        <v>144</v>
      </c>
      <c r="C85" s="10"/>
      <c r="D85" s="10"/>
      <c r="E85" s="10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8" t="s">
        <v>145</v>
      </c>
      <c r="B86" s="9" t="s">
        <v>34</v>
      </c>
      <c r="C86" s="10"/>
      <c r="D86" s="10"/>
      <c r="E86" s="10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8" t="s">
        <v>146</v>
      </c>
      <c r="B87" s="9">
        <v>1.0</v>
      </c>
      <c r="C87" s="10"/>
      <c r="D87" s="10"/>
      <c r="E87" s="10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8" t="s">
        <v>147</v>
      </c>
      <c r="B88" s="9">
        <v>1.0</v>
      </c>
      <c r="C88" s="10"/>
      <c r="D88" s="10"/>
      <c r="E88" s="10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8" t="s">
        <v>148</v>
      </c>
      <c r="B89" s="9">
        <v>2.0</v>
      </c>
      <c r="C89" s="10"/>
      <c r="D89" s="10"/>
      <c r="E89" s="10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8" t="s">
        <v>149</v>
      </c>
      <c r="B90" s="9">
        <v>1.0</v>
      </c>
      <c r="C90" s="10"/>
      <c r="D90" s="10"/>
      <c r="E90" s="10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8" t="s">
        <v>150</v>
      </c>
      <c r="B91" s="9">
        <v>3.0</v>
      </c>
      <c r="C91" s="10"/>
      <c r="D91" s="10"/>
      <c r="E91" s="10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8" t="s">
        <v>151</v>
      </c>
      <c r="B92" s="9">
        <v>2.0</v>
      </c>
      <c r="C92" s="10"/>
      <c r="D92" s="10"/>
      <c r="E92" s="10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8" t="s">
        <v>152</v>
      </c>
      <c r="B93" s="9">
        <v>4.0</v>
      </c>
      <c r="C93" s="10"/>
      <c r="D93" s="10"/>
      <c r="E93" s="10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8" t="s">
        <v>153</v>
      </c>
      <c r="B94" s="9">
        <v>3.0</v>
      </c>
      <c r="C94" s="10"/>
      <c r="D94" s="10"/>
      <c r="E94" s="10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8" t="s">
        <v>154</v>
      </c>
      <c r="B95" s="9">
        <v>1.0</v>
      </c>
      <c r="C95" s="10"/>
      <c r="D95" s="10"/>
      <c r="E95" s="10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8" t="s">
        <v>155</v>
      </c>
      <c r="B96" s="9">
        <v>9.0</v>
      </c>
      <c r="C96" s="10"/>
      <c r="D96" s="10"/>
      <c r="E96" s="1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8" t="s">
        <v>156</v>
      </c>
      <c r="B97" s="9">
        <v>1.0</v>
      </c>
      <c r="C97" s="10"/>
      <c r="D97" s="10"/>
      <c r="E97" s="10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8" t="s">
        <v>157</v>
      </c>
      <c r="B98" s="9">
        <v>3.0</v>
      </c>
      <c r="C98" s="10"/>
      <c r="D98" s="10"/>
      <c r="E98" s="10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8" t="s">
        <v>158</v>
      </c>
      <c r="B99" s="9">
        <v>1.0</v>
      </c>
      <c r="C99" s="10"/>
      <c r="D99" s="10"/>
      <c r="E99" s="10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8" t="s">
        <v>159</v>
      </c>
      <c r="B100" s="9">
        <v>1.0</v>
      </c>
      <c r="C100" s="10"/>
      <c r="D100" s="10"/>
      <c r="E100" s="1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8" t="s">
        <v>160</v>
      </c>
      <c r="B101" s="9">
        <v>1.0</v>
      </c>
      <c r="C101" s="10"/>
      <c r="D101" s="10"/>
      <c r="E101" s="10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8" t="s">
        <v>161</v>
      </c>
      <c r="B102" s="9">
        <v>1.0</v>
      </c>
      <c r="C102" s="10"/>
      <c r="D102" s="10"/>
      <c r="E102" s="10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8" t="s">
        <v>162</v>
      </c>
      <c r="B103" s="9">
        <v>1.0</v>
      </c>
      <c r="C103" s="10"/>
      <c r="D103" s="10"/>
      <c r="E103" s="10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8" t="s">
        <v>163</v>
      </c>
      <c r="B104" s="9">
        <v>1.0</v>
      </c>
      <c r="C104" s="10"/>
      <c r="D104" s="10"/>
      <c r="E104" s="10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10"/>
      <c r="B105" s="15"/>
      <c r="C105" s="10"/>
      <c r="D105" s="10"/>
      <c r="E105" s="1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4" t="s">
        <v>164</v>
      </c>
      <c r="B106" s="6"/>
      <c r="C106" s="10"/>
      <c r="D106" s="10"/>
      <c r="E106" s="1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8" t="s">
        <v>18</v>
      </c>
      <c r="B107" s="9" t="s">
        <v>165</v>
      </c>
      <c r="C107" s="10"/>
      <c r="D107" s="10"/>
      <c r="E107" s="1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8" t="s">
        <v>166</v>
      </c>
      <c r="B108" s="9">
        <v>13.0</v>
      </c>
      <c r="C108" s="10"/>
      <c r="D108" s="10"/>
      <c r="E108" s="1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8" t="s">
        <v>167</v>
      </c>
      <c r="B109" s="9" t="s">
        <v>168</v>
      </c>
      <c r="C109" s="10"/>
      <c r="D109" s="10"/>
      <c r="E109" s="1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8" t="s">
        <v>169</v>
      </c>
      <c r="B110" s="9" t="s">
        <v>165</v>
      </c>
      <c r="C110" s="10"/>
      <c r="D110" s="10"/>
      <c r="E110" s="1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8" t="s">
        <v>170</v>
      </c>
      <c r="B111" s="9" t="s">
        <v>19</v>
      </c>
      <c r="C111" s="10"/>
      <c r="D111" s="10"/>
      <c r="E111" s="1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8" t="s">
        <v>171</v>
      </c>
      <c r="B112" s="9">
        <v>10.0</v>
      </c>
      <c r="C112" s="10"/>
      <c r="D112" s="10"/>
      <c r="E112" s="1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8" t="s">
        <v>172</v>
      </c>
      <c r="B113" s="9">
        <v>3.0</v>
      </c>
      <c r="C113" s="10"/>
      <c r="D113" s="10"/>
      <c r="E113" s="1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8" t="s">
        <v>173</v>
      </c>
      <c r="B114" s="9">
        <v>3.0</v>
      </c>
      <c r="C114" s="10"/>
      <c r="D114" s="10"/>
      <c r="E114" s="1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8" t="s">
        <v>174</v>
      </c>
      <c r="B115" s="9">
        <v>2.0</v>
      </c>
      <c r="C115" s="10"/>
      <c r="D115" s="10"/>
      <c r="E115" s="1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8" t="s">
        <v>175</v>
      </c>
      <c r="B116" s="9">
        <v>1.0</v>
      </c>
      <c r="C116" s="10"/>
      <c r="D116" s="10"/>
      <c r="E116" s="1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8" t="s">
        <v>176</v>
      </c>
      <c r="B117" s="9">
        <v>1.0</v>
      </c>
      <c r="C117" s="10"/>
      <c r="D117" s="10"/>
      <c r="E117" s="1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8" t="s">
        <v>177</v>
      </c>
      <c r="B118" s="9">
        <v>1.0</v>
      </c>
      <c r="C118" s="10"/>
      <c r="D118" s="10"/>
      <c r="E118" s="1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8" t="s">
        <v>178</v>
      </c>
      <c r="B119" s="9">
        <v>2.0</v>
      </c>
      <c r="C119" s="10"/>
      <c r="D119" s="10"/>
      <c r="E119" s="1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8" t="s">
        <v>179</v>
      </c>
      <c r="B120" s="9">
        <v>1.0</v>
      </c>
      <c r="C120" s="10"/>
      <c r="D120" s="10"/>
      <c r="E120" s="1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8" t="s">
        <v>180</v>
      </c>
      <c r="B121" s="9">
        <v>1.0</v>
      </c>
      <c r="C121" s="10"/>
      <c r="D121" s="10"/>
      <c r="E121" s="1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8" t="s">
        <v>181</v>
      </c>
      <c r="B122" s="9">
        <v>1.0</v>
      </c>
      <c r="C122" s="10"/>
      <c r="D122" s="10"/>
      <c r="E122" s="1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8" t="s">
        <v>182</v>
      </c>
      <c r="B123" s="9">
        <v>3.0</v>
      </c>
      <c r="C123" s="10"/>
      <c r="D123" s="10"/>
      <c r="E123" s="1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10"/>
      <c r="B124" s="15"/>
      <c r="C124" s="10"/>
      <c r="D124" s="10"/>
      <c r="E124" s="1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4" t="s">
        <v>183</v>
      </c>
      <c r="B125" s="6"/>
      <c r="C125" s="10"/>
      <c r="D125" s="10"/>
      <c r="E125" s="10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8" t="s">
        <v>184</v>
      </c>
      <c r="B126" s="9">
        <v>1.0</v>
      </c>
      <c r="C126" s="10"/>
      <c r="D126" s="10"/>
      <c r="E126" s="10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8" t="s">
        <v>185</v>
      </c>
      <c r="B127" s="9" t="s">
        <v>81</v>
      </c>
      <c r="C127" s="10"/>
      <c r="D127" s="10"/>
      <c r="E127" s="10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8" t="s">
        <v>186</v>
      </c>
      <c r="B128" s="9">
        <v>7.0</v>
      </c>
      <c r="C128" s="10"/>
      <c r="D128" s="10"/>
      <c r="E128" s="10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10"/>
      <c r="B129" s="15"/>
      <c r="C129" s="10"/>
      <c r="D129" s="10"/>
      <c r="E129" s="10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4" t="s">
        <v>187</v>
      </c>
      <c r="B130" s="6"/>
      <c r="C130" s="10"/>
      <c r="D130" s="10"/>
      <c r="E130" s="10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8" t="s">
        <v>111</v>
      </c>
      <c r="B131" s="9">
        <v>2.0</v>
      </c>
      <c r="C131" s="10"/>
      <c r="D131" s="10"/>
      <c r="E131" s="10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8" t="s">
        <v>181</v>
      </c>
      <c r="B132" s="9">
        <v>1.0</v>
      </c>
      <c r="C132" s="10"/>
      <c r="D132" s="10"/>
      <c r="E132" s="10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8" t="s">
        <v>188</v>
      </c>
      <c r="B133" s="9">
        <v>2.0</v>
      </c>
      <c r="C133" s="10"/>
      <c r="D133" s="10"/>
      <c r="E133" s="10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8" t="s">
        <v>189</v>
      </c>
      <c r="B134" s="9">
        <v>2.0</v>
      </c>
      <c r="C134" s="10"/>
      <c r="D134" s="10"/>
      <c r="E134" s="10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8" t="s">
        <v>190</v>
      </c>
      <c r="B135" s="9">
        <v>1.0</v>
      </c>
      <c r="C135" s="10"/>
      <c r="D135" s="10"/>
      <c r="E135" s="10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8" t="s">
        <v>191</v>
      </c>
      <c r="B136" s="9">
        <v>1.0</v>
      </c>
      <c r="C136" s="10"/>
      <c r="D136" s="10"/>
      <c r="E136" s="10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8" t="s">
        <v>192</v>
      </c>
      <c r="B137" s="9">
        <v>1.0</v>
      </c>
      <c r="C137" s="10"/>
      <c r="D137" s="10"/>
      <c r="E137" s="10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8" t="s">
        <v>193</v>
      </c>
      <c r="B138" s="9">
        <v>2.0</v>
      </c>
      <c r="C138" s="10"/>
      <c r="D138" s="10"/>
      <c r="E138" s="10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8" t="s">
        <v>194</v>
      </c>
      <c r="B139" s="9">
        <v>1.0</v>
      </c>
      <c r="C139" s="10"/>
      <c r="D139" s="10"/>
      <c r="E139" s="10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8" t="s">
        <v>195</v>
      </c>
      <c r="B140" s="9" t="s">
        <v>196</v>
      </c>
      <c r="C140" s="10"/>
      <c r="D140" s="10"/>
      <c r="E140" s="10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8" t="s">
        <v>197</v>
      </c>
      <c r="B141" s="9">
        <v>1.0</v>
      </c>
      <c r="C141" s="10"/>
      <c r="D141" s="10"/>
      <c r="E141" s="10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8" t="s">
        <v>198</v>
      </c>
      <c r="B142" s="9" t="s">
        <v>199</v>
      </c>
      <c r="C142" s="10"/>
      <c r="D142" s="10"/>
      <c r="E142" s="10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8" t="s">
        <v>200</v>
      </c>
      <c r="B143" s="9" t="s">
        <v>199</v>
      </c>
      <c r="C143" s="10"/>
      <c r="D143" s="10"/>
      <c r="E143" s="10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8" t="s">
        <v>201</v>
      </c>
      <c r="B144" s="9" t="s">
        <v>199</v>
      </c>
      <c r="C144" s="10"/>
      <c r="D144" s="10"/>
      <c r="E144" s="10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8" t="s">
        <v>202</v>
      </c>
      <c r="B145" s="9" t="s">
        <v>199</v>
      </c>
      <c r="C145" s="10"/>
      <c r="D145" s="10"/>
      <c r="E145" s="10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8" t="s">
        <v>203</v>
      </c>
      <c r="B146" s="9" t="s">
        <v>199</v>
      </c>
      <c r="C146" s="10"/>
      <c r="D146" s="10"/>
      <c r="E146" s="10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B147" s="15"/>
      <c r="C147" s="10"/>
      <c r="D147" s="10"/>
      <c r="E147" s="10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4" t="s">
        <v>204</v>
      </c>
      <c r="B148" s="6"/>
      <c r="C148" s="10"/>
      <c r="D148" s="10"/>
      <c r="E148" s="1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16" t="s">
        <v>205</v>
      </c>
      <c r="B149" s="17">
        <v>1.0</v>
      </c>
      <c r="C149" s="10"/>
      <c r="D149" s="10"/>
      <c r="E149" s="1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16" t="s">
        <v>206</v>
      </c>
      <c r="B150" s="17">
        <v>1.0</v>
      </c>
      <c r="C150" s="10"/>
      <c r="D150" s="10"/>
      <c r="E150" s="1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16" t="s">
        <v>207</v>
      </c>
      <c r="B151" s="17">
        <v>1.0</v>
      </c>
      <c r="C151" s="10"/>
      <c r="D151" s="10"/>
      <c r="E151" s="1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16" t="s">
        <v>208</v>
      </c>
      <c r="B152" s="17">
        <v>1.0</v>
      </c>
      <c r="C152" s="10"/>
      <c r="D152" s="10"/>
      <c r="E152" s="1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16" t="s">
        <v>209</v>
      </c>
      <c r="B153" s="17">
        <v>1.0</v>
      </c>
      <c r="C153" s="10"/>
      <c r="D153" s="10"/>
      <c r="E153" s="1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16" t="s">
        <v>210</v>
      </c>
      <c r="B154" s="17">
        <v>1.0</v>
      </c>
      <c r="C154" s="10"/>
      <c r="D154" s="10"/>
      <c r="E154" s="1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16"/>
      <c r="B155" s="17"/>
      <c r="C155" s="10"/>
      <c r="D155" s="10"/>
      <c r="E155" s="1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18" t="s">
        <v>211</v>
      </c>
      <c r="B156" s="6"/>
      <c r="C156" s="10"/>
      <c r="D156" s="10"/>
      <c r="E156" s="10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16" t="s">
        <v>212</v>
      </c>
      <c r="B157" s="17" t="s">
        <v>213</v>
      </c>
      <c r="C157" s="10"/>
      <c r="D157" s="10"/>
      <c r="E157" s="10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16" t="s">
        <v>214</v>
      </c>
      <c r="B158" s="17">
        <v>7.0</v>
      </c>
      <c r="C158" s="10"/>
      <c r="D158" s="10"/>
      <c r="E158" s="10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16" t="s">
        <v>215</v>
      </c>
      <c r="B159" s="17">
        <v>1.0</v>
      </c>
      <c r="C159" s="10"/>
      <c r="D159" s="10"/>
      <c r="E159" s="10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16" t="s">
        <v>216</v>
      </c>
      <c r="B160" s="17">
        <v>9.0</v>
      </c>
      <c r="C160" s="10"/>
      <c r="D160" s="10"/>
      <c r="E160" s="1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16" t="s">
        <v>217</v>
      </c>
      <c r="B161" s="17">
        <v>3.0</v>
      </c>
      <c r="C161" s="10"/>
      <c r="D161" s="10"/>
      <c r="E161" s="10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16" t="s">
        <v>218</v>
      </c>
      <c r="B162" s="17">
        <v>1.0</v>
      </c>
      <c r="C162" s="10"/>
      <c r="D162" s="10"/>
      <c r="E162" s="10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19"/>
      <c r="B163" s="20"/>
      <c r="C163" s="10"/>
      <c r="D163" s="10"/>
      <c r="E163" s="10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18" t="s">
        <v>219</v>
      </c>
      <c r="B164" s="6"/>
      <c r="C164" s="10"/>
      <c r="D164" s="10"/>
      <c r="E164" s="10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16" t="s">
        <v>220</v>
      </c>
      <c r="B165" s="17">
        <v>1.0</v>
      </c>
      <c r="C165" s="10"/>
      <c r="D165" s="10"/>
      <c r="E165" s="10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16" t="s">
        <v>221</v>
      </c>
      <c r="B166" s="17">
        <v>1.0</v>
      </c>
      <c r="C166" s="10"/>
      <c r="D166" s="10"/>
      <c r="E166" s="1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16" t="s">
        <v>222</v>
      </c>
      <c r="B167" s="17">
        <v>1.0</v>
      </c>
      <c r="C167" s="10"/>
      <c r="D167" s="10"/>
      <c r="E167" s="10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16" t="s">
        <v>223</v>
      </c>
      <c r="B168" s="17">
        <v>1.0</v>
      </c>
      <c r="C168" s="10"/>
      <c r="D168" s="10"/>
      <c r="E168" s="10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16" t="s">
        <v>224</v>
      </c>
      <c r="B169" s="17">
        <v>1.0</v>
      </c>
      <c r="C169" s="10"/>
      <c r="D169" s="10"/>
      <c r="E169" s="10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16" t="s">
        <v>225</v>
      </c>
      <c r="B170" s="17">
        <v>2.0</v>
      </c>
      <c r="C170" s="10"/>
      <c r="D170" s="10"/>
      <c r="E170" s="10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16" t="s">
        <v>226</v>
      </c>
      <c r="B171" s="20"/>
      <c r="C171" s="10"/>
      <c r="D171" s="10"/>
      <c r="E171" s="10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19"/>
      <c r="B172" s="20"/>
      <c r="C172" s="10"/>
      <c r="D172" s="10"/>
      <c r="E172" s="10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18" t="s">
        <v>227</v>
      </c>
      <c r="B173" s="6"/>
      <c r="C173" s="10"/>
      <c r="D173" s="10"/>
      <c r="E173" s="10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16" t="s">
        <v>228</v>
      </c>
      <c r="B174" s="17" t="s">
        <v>229</v>
      </c>
      <c r="C174" s="10"/>
      <c r="D174" s="10"/>
      <c r="E174" s="10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16" t="s">
        <v>230</v>
      </c>
      <c r="B175" s="17">
        <v>1.0</v>
      </c>
      <c r="C175" s="10"/>
      <c r="D175" s="10"/>
      <c r="E175" s="10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16" t="s">
        <v>231</v>
      </c>
      <c r="B176" s="17">
        <v>1.0</v>
      </c>
      <c r="C176" s="10"/>
      <c r="D176" s="10"/>
      <c r="E176" s="10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16" t="s">
        <v>141</v>
      </c>
      <c r="B177" s="17">
        <v>1.0</v>
      </c>
      <c r="C177" s="10"/>
      <c r="D177" s="10"/>
      <c r="E177" s="10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16" t="s">
        <v>232</v>
      </c>
      <c r="B178" s="17" t="s">
        <v>233</v>
      </c>
      <c r="C178" s="10"/>
      <c r="D178" s="10"/>
      <c r="E178" s="10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16" t="s">
        <v>234</v>
      </c>
      <c r="B179" s="17">
        <v>4.0</v>
      </c>
      <c r="C179" s="10"/>
      <c r="D179" s="10"/>
      <c r="E179" s="10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2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2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2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2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2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2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2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2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2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2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2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2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2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2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2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2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2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2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2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2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2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2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2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2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2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2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2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2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2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2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2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2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2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2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2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2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2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2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2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2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2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2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2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2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2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2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2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2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2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2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2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2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2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2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2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2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2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2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2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2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2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2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2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2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2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2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2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2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2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2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2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2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2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2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2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2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2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2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2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2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2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2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2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2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2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2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2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2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2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2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2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2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2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2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2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2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2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2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2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2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2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2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2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2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2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2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2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2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2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2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2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2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2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2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2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2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2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2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2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2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2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2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2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2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2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2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2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2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2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2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2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2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2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2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2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2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2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2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2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2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2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2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2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2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2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2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2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2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2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2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2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2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2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2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2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2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2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2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2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2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2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2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2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2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2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2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2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2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2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2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2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2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2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2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2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2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2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2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2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2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2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2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2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2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2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2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2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2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2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2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2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2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2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2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2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2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2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2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2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2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2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2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2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2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2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2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2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2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2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2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2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2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2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2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2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2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2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2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2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2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2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2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2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2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2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2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2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2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2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2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2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2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2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2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2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2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2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2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2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2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2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2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2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2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2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2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2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2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2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2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2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2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2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2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2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2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2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2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2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2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2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2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2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2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2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2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2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2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2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2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2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2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2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2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2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2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2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2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2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2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2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2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2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2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2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2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2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2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2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2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2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2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2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2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2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2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2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2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2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2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2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2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2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2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2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2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2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2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2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2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2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2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2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2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2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2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2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2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2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2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2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2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2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2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2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2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2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2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2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2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2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2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2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2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2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2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2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2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2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2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2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2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2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2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2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2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2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2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2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2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2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2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2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2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2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2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2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2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2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2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2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2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2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2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2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2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2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2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2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2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2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2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2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2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2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2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2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2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2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2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2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2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2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2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2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2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2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2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2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2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2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2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2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2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2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2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2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2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2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2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2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2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2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2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2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2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2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2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2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2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2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2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2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2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2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2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2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2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2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2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2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2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2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2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2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2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2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2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2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2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2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2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2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2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2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2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2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2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2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2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2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2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2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2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2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2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2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2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2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2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2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2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2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2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2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2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2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2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2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2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2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2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2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2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2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2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2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2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2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2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2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2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2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2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2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2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2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2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2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2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2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2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2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2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2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2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2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2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2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2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2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2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2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2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2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2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2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2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2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2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2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2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2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2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2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2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2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2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2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2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2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2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2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2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2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2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2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2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2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2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2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2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2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2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2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2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2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2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2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2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2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2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2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2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2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2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2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2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2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2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2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2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2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2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2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2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2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2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2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2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2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2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2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2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2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2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2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2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2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2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2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2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2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2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2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2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2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2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2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2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2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2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2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2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2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2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2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2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2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2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2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2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2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2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2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2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2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2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2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2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2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2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2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2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2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2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2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2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2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2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2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2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2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2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2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2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2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2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2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2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2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2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2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2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2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2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2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2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2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2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2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2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2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2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2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2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2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2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2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2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2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2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2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2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2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2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2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2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2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2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2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2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2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2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2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2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2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2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2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2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2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2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2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2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2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2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2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2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2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2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2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2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2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2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2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2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2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2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2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2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2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2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2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2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2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2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2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2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2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2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2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2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2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2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2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2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2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2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2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2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2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2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2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2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2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2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2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2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2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2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2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2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2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2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2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2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2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2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2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2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2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2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2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2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2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2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2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2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2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2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2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2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2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2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2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2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2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2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2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2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2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2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2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2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2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2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2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2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2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2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2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2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2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2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2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2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2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2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2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2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2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2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2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2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2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2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2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2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2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2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2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2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2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2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2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2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2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2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2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2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2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2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2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2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2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2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2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2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2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2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2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2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2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2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2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2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2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2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2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2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2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2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2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2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2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2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2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2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2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2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2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2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2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2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2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2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2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2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2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2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2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2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2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2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2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2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2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2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2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2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21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3"/>
      <c r="B1001" s="21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A1002" s="3"/>
      <c r="B1002" s="21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A1003" s="3"/>
      <c r="B1003" s="21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A1004" s="3"/>
      <c r="B1004" s="21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A1005" s="3"/>
      <c r="B1005" s="21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A1006" s="3"/>
      <c r="B1006" s="21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A1007" s="3"/>
      <c r="B1007" s="21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A1008" s="3"/>
      <c r="B1008" s="21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>
      <c r="A1009" s="3"/>
      <c r="B1009" s="21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>
      <c r="A1010" s="3"/>
      <c r="B1010" s="21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>
      <c r="A1011" s="3"/>
      <c r="B1011" s="21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>
      <c r="A1012" s="3"/>
      <c r="B1012" s="21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>
      <c r="A1013" s="3"/>
      <c r="B1013" s="21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>
      <c r="A1014" s="3"/>
      <c r="B1014" s="21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>
      <c r="A1015" s="3"/>
      <c r="B1015" s="21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>
      <c r="A1016" s="3"/>
      <c r="B1016" s="21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>
      <c r="A1017" s="3"/>
      <c r="B1017" s="21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>
      <c r="A1018" s="3"/>
      <c r="B1018" s="21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>
      <c r="A1019" s="3"/>
      <c r="B1019" s="21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>
      <c r="A1020" s="3"/>
      <c r="B1020" s="21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</sheetData>
  <mergeCells count="13">
    <mergeCell ref="A125:B125"/>
    <mergeCell ref="A130:B130"/>
    <mergeCell ref="A148:B148"/>
    <mergeCell ref="A156:B156"/>
    <mergeCell ref="A164:B164"/>
    <mergeCell ref="A173:B173"/>
    <mergeCell ref="A2:E2"/>
    <mergeCell ref="D3:E3"/>
    <mergeCell ref="A5:B5"/>
    <mergeCell ref="D18:E18"/>
    <mergeCell ref="D28:E28"/>
    <mergeCell ref="D37:E37"/>
    <mergeCell ref="A106:B10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3" width="18.38"/>
    <col customWidth="1" min="4" max="4" width="26.13"/>
    <col customWidth="1" min="5" max="5" width="21.25"/>
    <col customWidth="1" min="6" max="7" width="7.38"/>
    <col customWidth="1" min="8" max="8" width="19.25"/>
    <col customWidth="1" min="9" max="9" width="18.25"/>
    <col customWidth="1" min="10" max="10" width="10.75"/>
    <col customWidth="1" min="11" max="11" width="12.63"/>
    <col customWidth="1" min="12" max="12" width="15.5"/>
    <col customWidth="1" min="13" max="13" width="15.13"/>
    <col customWidth="1" min="14" max="14" width="9.5"/>
  </cols>
  <sheetData>
    <row r="1">
      <c r="A1" s="22" t="s">
        <v>0</v>
      </c>
      <c r="B1" s="23" t="s">
        <v>1</v>
      </c>
      <c r="C1" s="24" t="s">
        <v>235</v>
      </c>
      <c r="D1" s="25" t="s">
        <v>236</v>
      </c>
      <c r="E1" s="26" t="s">
        <v>237</v>
      </c>
      <c r="F1" s="27"/>
      <c r="G1" s="28" t="s">
        <v>238</v>
      </c>
      <c r="H1" s="29" t="s">
        <v>239</v>
      </c>
      <c r="I1" s="29" t="s">
        <v>240</v>
      </c>
      <c r="J1" s="29" t="s">
        <v>241</v>
      </c>
      <c r="K1" s="29" t="s">
        <v>242</v>
      </c>
      <c r="L1" s="29" t="s">
        <v>243</v>
      </c>
      <c r="M1" s="29" t="s">
        <v>244</v>
      </c>
      <c r="N1" s="29" t="s">
        <v>245</v>
      </c>
      <c r="O1" s="29" t="s">
        <v>246</v>
      </c>
      <c r="P1" s="29" t="s">
        <v>247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8" t="s">
        <v>5</v>
      </c>
      <c r="B2" s="9">
        <v>1.0</v>
      </c>
      <c r="C2" s="30">
        <v>89000.0</v>
      </c>
      <c r="D2" s="31">
        <f>B2*C2</f>
        <v>89000</v>
      </c>
      <c r="E2" s="32" t="s">
        <v>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/>
      <c r="B3" s="9"/>
      <c r="C3" s="30"/>
      <c r="D3" s="1"/>
      <c r="E3" s="3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1" t="s">
        <v>10</v>
      </c>
      <c r="B4" s="12">
        <v>1.0</v>
      </c>
      <c r="C4" s="30">
        <v>2900.0</v>
      </c>
      <c r="D4" s="31">
        <f t="shared" ref="D4:D102" si="1">B4*C4</f>
        <v>2900</v>
      </c>
      <c r="E4" s="32" t="s">
        <v>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1" t="s">
        <v>13</v>
      </c>
      <c r="B5" s="12">
        <v>1.0</v>
      </c>
      <c r="C5" s="33">
        <v>12300.0</v>
      </c>
      <c r="D5" s="31">
        <f t="shared" si="1"/>
        <v>12300</v>
      </c>
      <c r="E5" s="32" t="s">
        <v>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15</v>
      </c>
      <c r="B6" s="9">
        <v>8.0</v>
      </c>
      <c r="C6" s="30">
        <v>165.0</v>
      </c>
      <c r="D6" s="31">
        <f t="shared" si="1"/>
        <v>1320</v>
      </c>
      <c r="E6" s="32" t="s">
        <v>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 t="s">
        <v>18</v>
      </c>
      <c r="B7" s="9">
        <v>50.0</v>
      </c>
      <c r="C7" s="30">
        <v>1.5</v>
      </c>
      <c r="D7" s="31">
        <f t="shared" si="1"/>
        <v>75</v>
      </c>
      <c r="E7" s="32" t="s">
        <v>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 t="s">
        <v>22</v>
      </c>
      <c r="B8" s="9">
        <v>12.0</v>
      </c>
      <c r="C8" s="30">
        <v>30.0</v>
      </c>
      <c r="D8" s="31">
        <f t="shared" si="1"/>
        <v>360</v>
      </c>
      <c r="E8" s="32" t="s">
        <v>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 t="s">
        <v>248</v>
      </c>
      <c r="B9" s="9">
        <v>4.0</v>
      </c>
      <c r="C9" s="30">
        <v>30.0</v>
      </c>
      <c r="D9" s="31">
        <f t="shared" si="1"/>
        <v>120</v>
      </c>
      <c r="E9" s="32" t="s">
        <v>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 t="s">
        <v>28</v>
      </c>
      <c r="B10" s="9">
        <v>200.0</v>
      </c>
      <c r="C10" s="34">
        <v>400.0</v>
      </c>
      <c r="D10" s="31">
        <f t="shared" si="1"/>
        <v>80000</v>
      </c>
      <c r="E10" s="32" t="s">
        <v>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 t="s">
        <v>31</v>
      </c>
      <c r="B11" s="9">
        <v>30.0</v>
      </c>
      <c r="C11" s="30">
        <v>8.0</v>
      </c>
      <c r="D11" s="31">
        <f t="shared" si="1"/>
        <v>240</v>
      </c>
      <c r="E11" s="32" t="s">
        <v>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33</v>
      </c>
      <c r="B12" s="9">
        <v>2.0</v>
      </c>
      <c r="C12" s="30">
        <v>195.0</v>
      </c>
      <c r="D12" s="31">
        <f t="shared" si="1"/>
        <v>390</v>
      </c>
      <c r="E12" s="32" t="s">
        <v>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35</v>
      </c>
      <c r="B13" s="9">
        <v>2.0</v>
      </c>
      <c r="C13" s="30">
        <v>65.0</v>
      </c>
      <c r="D13" s="31">
        <f t="shared" si="1"/>
        <v>130</v>
      </c>
      <c r="E13" s="32" t="s">
        <v>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36</v>
      </c>
      <c r="B14" s="9">
        <v>50.0</v>
      </c>
      <c r="C14" s="30">
        <v>3.0</v>
      </c>
      <c r="D14" s="31">
        <f t="shared" si="1"/>
        <v>150</v>
      </c>
      <c r="E14" s="32" t="s">
        <v>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38</v>
      </c>
      <c r="B15" s="9">
        <v>1.0</v>
      </c>
      <c r="C15" s="30">
        <v>60.0</v>
      </c>
      <c r="D15" s="31">
        <f t="shared" si="1"/>
        <v>60</v>
      </c>
      <c r="E15" s="32" t="s">
        <v>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40</v>
      </c>
      <c r="B16" s="9">
        <v>1.0</v>
      </c>
      <c r="C16" s="30">
        <v>180.0</v>
      </c>
      <c r="D16" s="31">
        <f t="shared" si="1"/>
        <v>180</v>
      </c>
      <c r="E16" s="32" t="s">
        <v>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42</v>
      </c>
      <c r="B17" s="9">
        <v>1.0</v>
      </c>
      <c r="C17" s="30">
        <v>145.0</v>
      </c>
      <c r="D17" s="31">
        <f t="shared" si="1"/>
        <v>145</v>
      </c>
      <c r="E17" s="32" t="s">
        <v>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 t="s">
        <v>44</v>
      </c>
      <c r="B18" s="9">
        <v>2.0</v>
      </c>
      <c r="C18" s="30">
        <v>900.0</v>
      </c>
      <c r="D18" s="31">
        <f t="shared" si="1"/>
        <v>1800</v>
      </c>
      <c r="E18" s="32" t="s">
        <v>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 t="s">
        <v>47</v>
      </c>
      <c r="B19" s="9">
        <v>1.0</v>
      </c>
      <c r="C19" s="30">
        <v>150.0</v>
      </c>
      <c r="D19" s="31">
        <f t="shared" si="1"/>
        <v>150</v>
      </c>
      <c r="E19" s="32" t="s">
        <v>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 t="s">
        <v>49</v>
      </c>
      <c r="B20" s="9">
        <v>2.0</v>
      </c>
      <c r="C20" s="30">
        <v>45.0</v>
      </c>
      <c r="D20" s="31">
        <f t="shared" si="1"/>
        <v>90</v>
      </c>
      <c r="E20" s="32" t="s">
        <v>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8" t="s">
        <v>51</v>
      </c>
      <c r="B21" s="9">
        <v>2.0</v>
      </c>
      <c r="C21" s="30">
        <v>400.0</v>
      </c>
      <c r="D21" s="31">
        <f t="shared" si="1"/>
        <v>800</v>
      </c>
      <c r="E21" s="32" t="s">
        <v>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8" t="s">
        <v>53</v>
      </c>
      <c r="B22" s="9">
        <v>2.0</v>
      </c>
      <c r="C22" s="30">
        <v>200.0</v>
      </c>
      <c r="D22" s="31">
        <f t="shared" si="1"/>
        <v>400</v>
      </c>
      <c r="E22" s="32" t="s">
        <v>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8" t="s">
        <v>249</v>
      </c>
      <c r="B23" s="9">
        <v>1.0</v>
      </c>
      <c r="C23" s="30">
        <v>240.0</v>
      </c>
      <c r="D23" s="31">
        <f t="shared" si="1"/>
        <v>240</v>
      </c>
      <c r="E23" s="32" t="s">
        <v>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8" t="s">
        <v>58</v>
      </c>
      <c r="B24" s="9">
        <v>1.0</v>
      </c>
      <c r="C24" s="30">
        <v>150.0</v>
      </c>
      <c r="D24" s="31">
        <f t="shared" si="1"/>
        <v>150</v>
      </c>
      <c r="E24" s="32" t="s">
        <v>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8" t="s">
        <v>60</v>
      </c>
      <c r="B25" s="9">
        <v>2.0</v>
      </c>
      <c r="C25" s="30">
        <v>200.0</v>
      </c>
      <c r="D25" s="31">
        <f t="shared" si="1"/>
        <v>400</v>
      </c>
      <c r="E25" s="32" t="s">
        <v>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8" t="s">
        <v>61</v>
      </c>
      <c r="B26" s="9">
        <v>3.0</v>
      </c>
      <c r="C26" s="30">
        <v>250.0</v>
      </c>
      <c r="D26" s="31">
        <f t="shared" si="1"/>
        <v>750</v>
      </c>
      <c r="E26" s="32" t="s">
        <v>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8" t="s">
        <v>64</v>
      </c>
      <c r="B27" s="9">
        <v>1.0</v>
      </c>
      <c r="C27" s="30">
        <v>230.0</v>
      </c>
      <c r="D27" s="31">
        <f t="shared" si="1"/>
        <v>230</v>
      </c>
      <c r="E27" s="32" t="s">
        <v>7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8" t="s">
        <v>65</v>
      </c>
      <c r="B28" s="9">
        <v>6.0</v>
      </c>
      <c r="C28" s="30">
        <v>190.0</v>
      </c>
      <c r="D28" s="31">
        <f t="shared" si="1"/>
        <v>1140</v>
      </c>
      <c r="E28" s="32" t="s">
        <v>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8" t="s">
        <v>68</v>
      </c>
      <c r="B29" s="9">
        <v>24.0</v>
      </c>
      <c r="C29" s="30">
        <v>165.0</v>
      </c>
      <c r="D29" s="31">
        <f t="shared" si="1"/>
        <v>3960</v>
      </c>
      <c r="E29" s="32" t="s">
        <v>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8" t="s">
        <v>71</v>
      </c>
      <c r="B30" s="9">
        <v>2.0</v>
      </c>
      <c r="C30" s="30">
        <v>40.0</v>
      </c>
      <c r="D30" s="31">
        <f t="shared" si="1"/>
        <v>80</v>
      </c>
      <c r="E30" s="32" t="s">
        <v>7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8" t="s">
        <v>73</v>
      </c>
      <c r="B31" s="9">
        <v>3.0</v>
      </c>
      <c r="C31" s="30">
        <v>90.0</v>
      </c>
      <c r="D31" s="31">
        <f t="shared" si="1"/>
        <v>270</v>
      </c>
      <c r="E31" s="32" t="s">
        <v>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8" t="s">
        <v>76</v>
      </c>
      <c r="B32" s="9">
        <v>2.0</v>
      </c>
      <c r="C32" s="30">
        <v>60.0</v>
      </c>
      <c r="D32" s="31">
        <f t="shared" si="1"/>
        <v>120</v>
      </c>
      <c r="E32" s="32" t="s">
        <v>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8" t="s">
        <v>78</v>
      </c>
      <c r="B33" s="9">
        <v>2.0</v>
      </c>
      <c r="C33" s="30">
        <v>170.0</v>
      </c>
      <c r="D33" s="31">
        <f t="shared" si="1"/>
        <v>340</v>
      </c>
      <c r="E33" s="32" t="s">
        <v>7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8" t="s">
        <v>80</v>
      </c>
      <c r="B34" s="9">
        <v>20.0</v>
      </c>
      <c r="C34" s="30">
        <v>2.0</v>
      </c>
      <c r="D34" s="31">
        <f t="shared" si="1"/>
        <v>40</v>
      </c>
      <c r="E34" s="32" t="s">
        <v>7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8" t="s">
        <v>82</v>
      </c>
      <c r="B35" s="9">
        <v>14.0</v>
      </c>
      <c r="C35" s="30">
        <v>30.0</v>
      </c>
      <c r="D35" s="31">
        <f t="shared" si="1"/>
        <v>420</v>
      </c>
      <c r="E35" s="32" t="s">
        <v>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8" t="s">
        <v>85</v>
      </c>
      <c r="B36" s="9">
        <v>2.0</v>
      </c>
      <c r="C36" s="30">
        <v>90.0</v>
      </c>
      <c r="D36" s="31">
        <f t="shared" si="1"/>
        <v>180</v>
      </c>
      <c r="E36" s="32" t="s">
        <v>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8" t="s">
        <v>87</v>
      </c>
      <c r="B37" s="9">
        <v>8.0</v>
      </c>
      <c r="C37" s="30">
        <v>50.0</v>
      </c>
      <c r="D37" s="31">
        <f t="shared" si="1"/>
        <v>400</v>
      </c>
      <c r="E37" s="32" t="s">
        <v>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8" t="s">
        <v>90</v>
      </c>
      <c r="B38" s="9">
        <v>1.0</v>
      </c>
      <c r="C38" s="30">
        <v>400.0</v>
      </c>
      <c r="D38" s="31">
        <f t="shared" si="1"/>
        <v>400</v>
      </c>
      <c r="E38" s="32" t="s">
        <v>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8" t="s">
        <v>92</v>
      </c>
      <c r="B39" s="9">
        <v>4.0</v>
      </c>
      <c r="C39" s="30">
        <v>50.0</v>
      </c>
      <c r="D39" s="31">
        <f t="shared" si="1"/>
        <v>200</v>
      </c>
      <c r="E39" s="32" t="s">
        <v>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95</v>
      </c>
      <c r="B40" s="9">
        <v>2.0</v>
      </c>
      <c r="C40" s="30">
        <v>2000.0</v>
      </c>
      <c r="D40" s="31">
        <f t="shared" si="1"/>
        <v>4000</v>
      </c>
      <c r="E40" s="32" t="s">
        <v>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97</v>
      </c>
      <c r="B41" s="9">
        <v>3.0</v>
      </c>
      <c r="C41" s="30">
        <v>650.0</v>
      </c>
      <c r="D41" s="31">
        <f t="shared" si="1"/>
        <v>1950</v>
      </c>
      <c r="E41" s="32" t="s">
        <v>7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98</v>
      </c>
      <c r="B42" s="9">
        <v>4.0</v>
      </c>
      <c r="C42" s="30">
        <v>275.0</v>
      </c>
      <c r="D42" s="31">
        <f t="shared" si="1"/>
        <v>1100</v>
      </c>
      <c r="E42" s="32" t="s">
        <v>7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99</v>
      </c>
      <c r="B43" s="9">
        <v>12.0</v>
      </c>
      <c r="C43" s="30">
        <v>165.0</v>
      </c>
      <c r="D43" s="31">
        <f t="shared" si="1"/>
        <v>1980</v>
      </c>
      <c r="E43" s="32" t="s">
        <v>7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101</v>
      </c>
      <c r="B44" s="9">
        <v>1.0</v>
      </c>
      <c r="C44" s="30">
        <v>300.0</v>
      </c>
      <c r="D44" s="31">
        <f t="shared" si="1"/>
        <v>300</v>
      </c>
      <c r="E44" s="32" t="s">
        <v>7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250</v>
      </c>
      <c r="B45" s="9">
        <v>1.0</v>
      </c>
      <c r="C45" s="30">
        <v>1800.0</v>
      </c>
      <c r="D45" s="31">
        <f t="shared" si="1"/>
        <v>1800</v>
      </c>
      <c r="E45" s="32" t="s">
        <v>7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103</v>
      </c>
      <c r="B46" s="9">
        <v>1.0</v>
      </c>
      <c r="C46" s="30">
        <v>295.0</v>
      </c>
      <c r="D46" s="31">
        <f t="shared" si="1"/>
        <v>295</v>
      </c>
      <c r="E46" s="32" t="s">
        <v>7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8" t="s">
        <v>251</v>
      </c>
      <c r="B47" s="9">
        <v>1.0</v>
      </c>
      <c r="C47" s="30">
        <v>50.0</v>
      </c>
      <c r="D47" s="31">
        <f t="shared" si="1"/>
        <v>50</v>
      </c>
      <c r="E47" s="32" t="s">
        <v>7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8" t="s">
        <v>105</v>
      </c>
      <c r="B48" s="9">
        <v>2.0</v>
      </c>
      <c r="C48" s="30">
        <v>190.0</v>
      </c>
      <c r="D48" s="31">
        <f t="shared" si="1"/>
        <v>380</v>
      </c>
      <c r="E48" s="32" t="s">
        <v>7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8" t="s">
        <v>106</v>
      </c>
      <c r="B49" s="9">
        <v>4.0</v>
      </c>
      <c r="C49" s="30">
        <v>365.0</v>
      </c>
      <c r="D49" s="31">
        <f t="shared" si="1"/>
        <v>1460</v>
      </c>
      <c r="E49" s="32" t="s">
        <v>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8" t="s">
        <v>107</v>
      </c>
      <c r="B50" s="9">
        <v>2.0</v>
      </c>
      <c r="C50" s="30">
        <v>70.0</v>
      </c>
      <c r="D50" s="31">
        <f t="shared" si="1"/>
        <v>140</v>
      </c>
      <c r="E50" s="32" t="s">
        <v>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8" t="s">
        <v>108</v>
      </c>
      <c r="B51" s="9">
        <v>2.0</v>
      </c>
      <c r="C51" s="30">
        <v>230.0</v>
      </c>
      <c r="D51" s="31">
        <f t="shared" si="1"/>
        <v>460</v>
      </c>
      <c r="E51" s="32" t="s">
        <v>7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8" t="s">
        <v>109</v>
      </c>
      <c r="B52" s="9">
        <v>1.0</v>
      </c>
      <c r="C52" s="30">
        <v>10.0</v>
      </c>
      <c r="D52" s="31">
        <f t="shared" si="1"/>
        <v>10</v>
      </c>
      <c r="E52" s="32" t="s">
        <v>7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8" t="s">
        <v>110</v>
      </c>
      <c r="B53" s="9">
        <v>3.0</v>
      </c>
      <c r="C53" s="30">
        <v>135.0</v>
      </c>
      <c r="D53" s="31">
        <f t="shared" si="1"/>
        <v>405</v>
      </c>
      <c r="E53" s="32" t="s">
        <v>7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8" t="s">
        <v>111</v>
      </c>
      <c r="B54" s="9">
        <v>4.0</v>
      </c>
      <c r="C54" s="30">
        <v>625.0</v>
      </c>
      <c r="D54" s="31">
        <f t="shared" si="1"/>
        <v>2500</v>
      </c>
      <c r="E54" s="32" t="s">
        <v>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8" t="s">
        <v>112</v>
      </c>
      <c r="B55" s="9">
        <v>2.0</v>
      </c>
      <c r="C55" s="30">
        <v>400.0</v>
      </c>
      <c r="D55" s="31">
        <f t="shared" si="1"/>
        <v>800</v>
      </c>
      <c r="E55" s="32" t="s">
        <v>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8" t="s">
        <v>113</v>
      </c>
      <c r="B56" s="9">
        <v>8.0</v>
      </c>
      <c r="C56" s="30">
        <v>165.0</v>
      </c>
      <c r="D56" s="31">
        <f t="shared" si="1"/>
        <v>1320</v>
      </c>
      <c r="E56" s="32" t="s">
        <v>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8" t="s">
        <v>114</v>
      </c>
      <c r="B57" s="9">
        <v>2.0</v>
      </c>
      <c r="C57" s="30">
        <v>125.0</v>
      </c>
      <c r="D57" s="31">
        <f t="shared" si="1"/>
        <v>250</v>
      </c>
      <c r="E57" s="32" t="s">
        <v>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8" t="s">
        <v>115</v>
      </c>
      <c r="B58" s="9">
        <v>4.0</v>
      </c>
      <c r="C58" s="30">
        <v>3500.0</v>
      </c>
      <c r="D58" s="31">
        <f t="shared" si="1"/>
        <v>14000</v>
      </c>
      <c r="E58" s="32" t="s">
        <v>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8" t="s">
        <v>116</v>
      </c>
      <c r="B59" s="9">
        <v>2.0</v>
      </c>
      <c r="C59" s="30">
        <v>1300.0</v>
      </c>
      <c r="D59" s="31">
        <f t="shared" si="1"/>
        <v>2600</v>
      </c>
      <c r="E59" s="32" t="s">
        <v>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8" t="s">
        <v>117</v>
      </c>
      <c r="B60" s="9">
        <v>5.0</v>
      </c>
      <c r="C60" s="30">
        <v>65.0</v>
      </c>
      <c r="D60" s="31">
        <f t="shared" si="1"/>
        <v>325</v>
      </c>
      <c r="E60" s="32" t="s">
        <v>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8" t="s">
        <v>119</v>
      </c>
      <c r="B61" s="9">
        <v>1.0</v>
      </c>
      <c r="C61" s="30">
        <v>75.0</v>
      </c>
      <c r="D61" s="31">
        <f t="shared" si="1"/>
        <v>75</v>
      </c>
      <c r="E61" s="32" t="s">
        <v>7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8" t="s">
        <v>120</v>
      </c>
      <c r="B62" s="9">
        <v>1.0</v>
      </c>
      <c r="C62" s="30">
        <v>95.0</v>
      </c>
      <c r="D62" s="31">
        <f t="shared" si="1"/>
        <v>95</v>
      </c>
      <c r="E62" s="32" t="s">
        <v>7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8" t="s">
        <v>121</v>
      </c>
      <c r="B63" s="9">
        <v>1.0</v>
      </c>
      <c r="C63" s="30">
        <v>120.0</v>
      </c>
      <c r="D63" s="31">
        <f t="shared" si="1"/>
        <v>120</v>
      </c>
      <c r="E63" s="32" t="s">
        <v>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8" t="s">
        <v>122</v>
      </c>
      <c r="B64" s="9">
        <v>3.0</v>
      </c>
      <c r="C64" s="30">
        <v>85.0</v>
      </c>
      <c r="D64" s="31">
        <f t="shared" si="1"/>
        <v>255</v>
      </c>
      <c r="E64" s="32" t="s">
        <v>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8" t="s">
        <v>123</v>
      </c>
      <c r="B65" s="9">
        <v>2.0</v>
      </c>
      <c r="C65" s="30">
        <v>295.0</v>
      </c>
      <c r="D65" s="31">
        <f t="shared" si="1"/>
        <v>590</v>
      </c>
      <c r="E65" s="32" t="s">
        <v>7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8" t="s">
        <v>124</v>
      </c>
      <c r="B66" s="9">
        <v>2.0</v>
      </c>
      <c r="C66" s="30">
        <v>2700.0</v>
      </c>
      <c r="D66" s="31">
        <f t="shared" si="1"/>
        <v>5400</v>
      </c>
      <c r="E66" s="32" t="s">
        <v>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8" t="s">
        <v>125</v>
      </c>
      <c r="B67" s="9">
        <v>1.0</v>
      </c>
      <c r="C67" s="30">
        <v>900.0</v>
      </c>
      <c r="D67" s="31">
        <f t="shared" si="1"/>
        <v>900</v>
      </c>
      <c r="E67" s="32" t="s">
        <v>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8" t="s">
        <v>126</v>
      </c>
      <c r="B68" s="9">
        <v>1.0</v>
      </c>
      <c r="C68" s="30">
        <v>125.0</v>
      </c>
      <c r="D68" s="31">
        <f t="shared" si="1"/>
        <v>125</v>
      </c>
      <c r="E68" s="32" t="s">
        <v>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8" t="s">
        <v>127</v>
      </c>
      <c r="B69" s="9">
        <v>1.0</v>
      </c>
      <c r="C69" s="30">
        <v>295.0</v>
      </c>
      <c r="D69" s="31">
        <f t="shared" si="1"/>
        <v>295</v>
      </c>
      <c r="E69" s="32" t="s">
        <v>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8" t="s">
        <v>128</v>
      </c>
      <c r="B70" s="9">
        <v>2.0</v>
      </c>
      <c r="C70" s="30">
        <v>165.0</v>
      </c>
      <c r="D70" s="31">
        <f t="shared" si="1"/>
        <v>330</v>
      </c>
      <c r="E70" s="32" t="s">
        <v>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8" t="s">
        <v>129</v>
      </c>
      <c r="B71" s="9">
        <v>2.0</v>
      </c>
      <c r="C71" s="30">
        <v>45.0</v>
      </c>
      <c r="D71" s="31">
        <f t="shared" si="1"/>
        <v>90</v>
      </c>
      <c r="E71" s="32" t="s">
        <v>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8" t="s">
        <v>130</v>
      </c>
      <c r="B72" s="9">
        <v>2.0</v>
      </c>
      <c r="C72" s="30">
        <v>100.0</v>
      </c>
      <c r="D72" s="31">
        <f t="shared" si="1"/>
        <v>200</v>
      </c>
      <c r="E72" s="32" t="s">
        <v>7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8" t="s">
        <v>131</v>
      </c>
      <c r="B73" s="9">
        <v>2.0</v>
      </c>
      <c r="C73" s="30">
        <v>400.0</v>
      </c>
      <c r="D73" s="31">
        <f t="shared" si="1"/>
        <v>800</v>
      </c>
      <c r="E73" s="32" t="s">
        <v>7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8" t="s">
        <v>132</v>
      </c>
      <c r="B74" s="9">
        <v>1.0</v>
      </c>
      <c r="C74" s="30">
        <v>20.0</v>
      </c>
      <c r="D74" s="31">
        <f t="shared" si="1"/>
        <v>20</v>
      </c>
      <c r="E74" s="32" t="s">
        <v>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8" t="s">
        <v>133</v>
      </c>
      <c r="B75" s="9">
        <v>5.0</v>
      </c>
      <c r="C75" s="30">
        <v>40.0</v>
      </c>
      <c r="D75" s="31">
        <f t="shared" si="1"/>
        <v>200</v>
      </c>
      <c r="E75" s="32" t="s">
        <v>7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8" t="s">
        <v>134</v>
      </c>
      <c r="B76" s="9">
        <v>9.0</v>
      </c>
      <c r="C76" s="30">
        <v>215.0</v>
      </c>
      <c r="D76" s="31">
        <f t="shared" si="1"/>
        <v>1935</v>
      </c>
      <c r="E76" s="32" t="s">
        <v>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8" t="s">
        <v>136</v>
      </c>
      <c r="B77" s="9">
        <v>5.0</v>
      </c>
      <c r="C77" s="30">
        <v>245.0</v>
      </c>
      <c r="D77" s="31">
        <f t="shared" si="1"/>
        <v>1225</v>
      </c>
      <c r="E77" s="32" t="s">
        <v>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8" t="s">
        <v>137</v>
      </c>
      <c r="B78" s="9">
        <v>1.0</v>
      </c>
      <c r="C78" s="30">
        <v>225.0</v>
      </c>
      <c r="D78" s="31">
        <f t="shared" si="1"/>
        <v>225</v>
      </c>
      <c r="E78" s="32" t="s">
        <v>7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8" t="s">
        <v>138</v>
      </c>
      <c r="B79" s="9">
        <v>3.0</v>
      </c>
      <c r="C79" s="30">
        <v>195.0</v>
      </c>
      <c r="D79" s="31">
        <f t="shared" si="1"/>
        <v>585</v>
      </c>
      <c r="E79" s="32" t="s">
        <v>7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8" t="s">
        <v>139</v>
      </c>
      <c r="B80" s="9">
        <v>3.0</v>
      </c>
      <c r="C80" s="30">
        <v>90.0</v>
      </c>
      <c r="D80" s="31">
        <f t="shared" si="1"/>
        <v>270</v>
      </c>
      <c r="E80" s="32" t="s">
        <v>7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8" t="s">
        <v>140</v>
      </c>
      <c r="B81" s="9">
        <v>3.0</v>
      </c>
      <c r="C81" s="30">
        <v>45.0</v>
      </c>
      <c r="D81" s="31">
        <f t="shared" si="1"/>
        <v>135</v>
      </c>
      <c r="E81" s="32" t="s">
        <v>7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8" t="s">
        <v>141</v>
      </c>
      <c r="B82" s="9">
        <v>10.0</v>
      </c>
      <c r="C82" s="30">
        <v>75.0</v>
      </c>
      <c r="D82" s="31">
        <f t="shared" si="1"/>
        <v>750</v>
      </c>
      <c r="E82" s="32" t="s">
        <v>7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8" t="s">
        <v>143</v>
      </c>
      <c r="B83" s="9">
        <v>8.0</v>
      </c>
      <c r="C83" s="30">
        <v>25.0</v>
      </c>
      <c r="D83" s="31">
        <f t="shared" si="1"/>
        <v>200</v>
      </c>
      <c r="E83" s="32" t="s">
        <v>7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8" t="s">
        <v>145</v>
      </c>
      <c r="B84" s="9">
        <v>2.0</v>
      </c>
      <c r="C84" s="30">
        <v>350.0</v>
      </c>
      <c r="D84" s="31">
        <f t="shared" si="1"/>
        <v>700</v>
      </c>
      <c r="E84" s="32" t="s">
        <v>7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8" t="s">
        <v>146</v>
      </c>
      <c r="B85" s="9">
        <v>1.0</v>
      </c>
      <c r="C85" s="30">
        <v>345.0</v>
      </c>
      <c r="D85" s="31">
        <f t="shared" si="1"/>
        <v>345</v>
      </c>
      <c r="E85" s="32" t="s">
        <v>7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8" t="s">
        <v>147</v>
      </c>
      <c r="B86" s="9">
        <v>1.0</v>
      </c>
      <c r="C86" s="30">
        <v>1300.0</v>
      </c>
      <c r="D86" s="31">
        <f t="shared" si="1"/>
        <v>1300</v>
      </c>
      <c r="E86" s="32" t="s">
        <v>7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8" t="s">
        <v>148</v>
      </c>
      <c r="B87" s="9">
        <v>2.0</v>
      </c>
      <c r="C87" s="30">
        <v>500.0</v>
      </c>
      <c r="D87" s="31">
        <f t="shared" si="1"/>
        <v>1000</v>
      </c>
      <c r="E87" s="32" t="s">
        <v>7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8" t="s">
        <v>149</v>
      </c>
      <c r="B88" s="9">
        <v>1.0</v>
      </c>
      <c r="C88" s="30">
        <v>250.0</v>
      </c>
      <c r="D88" s="31">
        <f t="shared" si="1"/>
        <v>250</v>
      </c>
      <c r="E88" s="32" t="s">
        <v>7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8" t="s">
        <v>150</v>
      </c>
      <c r="B89" s="9">
        <v>3.0</v>
      </c>
      <c r="C89" s="30">
        <v>995.0</v>
      </c>
      <c r="D89" s="31">
        <f t="shared" si="1"/>
        <v>2985</v>
      </c>
      <c r="E89" s="32" t="s">
        <v>7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8" t="s">
        <v>151</v>
      </c>
      <c r="B90" s="9">
        <v>2.0</v>
      </c>
      <c r="C90" s="30">
        <v>1200.0</v>
      </c>
      <c r="D90" s="31">
        <f t="shared" si="1"/>
        <v>2400</v>
      </c>
      <c r="E90" s="32" t="s">
        <v>7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8" t="s">
        <v>152</v>
      </c>
      <c r="B91" s="9">
        <v>4.0</v>
      </c>
      <c r="C91" s="30">
        <v>60.0</v>
      </c>
      <c r="D91" s="31">
        <f t="shared" si="1"/>
        <v>240</v>
      </c>
      <c r="E91" s="32" t="s">
        <v>7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8" t="s">
        <v>153</v>
      </c>
      <c r="B92" s="9">
        <v>3.0</v>
      </c>
      <c r="C92" s="30">
        <v>6200.0</v>
      </c>
      <c r="D92" s="31">
        <f t="shared" si="1"/>
        <v>18600</v>
      </c>
      <c r="E92" s="32" t="s">
        <v>7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8" t="s">
        <v>154</v>
      </c>
      <c r="B93" s="9">
        <v>1.0</v>
      </c>
      <c r="C93" s="30">
        <v>4800.0</v>
      </c>
      <c r="D93" s="31">
        <f t="shared" si="1"/>
        <v>4800</v>
      </c>
      <c r="E93" s="32" t="s">
        <v>7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8" t="s">
        <v>155</v>
      </c>
      <c r="B94" s="9">
        <v>9.0</v>
      </c>
      <c r="C94" s="30">
        <v>10500.0</v>
      </c>
      <c r="D94" s="31">
        <f t="shared" si="1"/>
        <v>94500</v>
      </c>
      <c r="E94" s="32" t="s">
        <v>7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8" t="s">
        <v>156</v>
      </c>
      <c r="B95" s="9">
        <v>1.0</v>
      </c>
      <c r="C95" s="30">
        <v>2600.0</v>
      </c>
      <c r="D95" s="31">
        <f t="shared" si="1"/>
        <v>2600</v>
      </c>
      <c r="E95" s="32" t="s">
        <v>7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8" t="s">
        <v>157</v>
      </c>
      <c r="B96" s="9">
        <v>3.0</v>
      </c>
      <c r="C96" s="30">
        <v>400.0</v>
      </c>
      <c r="D96" s="31">
        <f t="shared" si="1"/>
        <v>1200</v>
      </c>
      <c r="E96" s="32" t="s">
        <v>7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8" t="s">
        <v>158</v>
      </c>
      <c r="B97" s="9">
        <v>1.0</v>
      </c>
      <c r="C97" s="30">
        <v>10700.0</v>
      </c>
      <c r="D97" s="31">
        <f t="shared" si="1"/>
        <v>10700</v>
      </c>
      <c r="E97" s="32" t="s">
        <v>7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8" t="s">
        <v>159</v>
      </c>
      <c r="B98" s="9">
        <v>1.0</v>
      </c>
      <c r="C98" s="30">
        <v>5000.0</v>
      </c>
      <c r="D98" s="31">
        <f t="shared" si="1"/>
        <v>5000</v>
      </c>
      <c r="E98" s="32" t="s">
        <v>7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8" t="s">
        <v>160</v>
      </c>
      <c r="B99" s="9">
        <v>1.0</v>
      </c>
      <c r="C99" s="30">
        <v>4100.0</v>
      </c>
      <c r="D99" s="31">
        <f t="shared" si="1"/>
        <v>4100</v>
      </c>
      <c r="E99" s="32" t="s">
        <v>7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8" t="s">
        <v>161</v>
      </c>
      <c r="B100" s="9">
        <v>1.0</v>
      </c>
      <c r="C100" s="30">
        <v>5900.0</v>
      </c>
      <c r="D100" s="31">
        <f t="shared" si="1"/>
        <v>5900</v>
      </c>
      <c r="E100" s="32" t="s">
        <v>7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8" t="s">
        <v>162</v>
      </c>
      <c r="B101" s="9">
        <v>1.0</v>
      </c>
      <c r="C101" s="30">
        <v>795.0</v>
      </c>
      <c r="D101" s="31">
        <f t="shared" si="1"/>
        <v>795</v>
      </c>
      <c r="E101" s="32" t="s">
        <v>7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8" t="s">
        <v>163</v>
      </c>
      <c r="B102" s="9">
        <v>1.0</v>
      </c>
      <c r="C102" s="30">
        <v>1300.0</v>
      </c>
      <c r="D102" s="31">
        <f t="shared" si="1"/>
        <v>1300</v>
      </c>
      <c r="E102" s="32" t="s">
        <v>7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0"/>
      <c r="B103" s="15"/>
      <c r="C103" s="30"/>
      <c r="D103" s="1"/>
      <c r="E103" s="3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8" t="s">
        <v>18</v>
      </c>
      <c r="B104" s="9">
        <v>50.0</v>
      </c>
      <c r="C104" s="30">
        <v>1.5</v>
      </c>
      <c r="D104" s="31">
        <f t="shared" ref="D104:D120" si="2">B104*C104</f>
        <v>75</v>
      </c>
      <c r="E104" s="32" t="s">
        <v>164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8" t="s">
        <v>166</v>
      </c>
      <c r="B105" s="9">
        <v>13.0</v>
      </c>
      <c r="C105" s="30">
        <v>40.0</v>
      </c>
      <c r="D105" s="31">
        <f t="shared" si="2"/>
        <v>520</v>
      </c>
      <c r="E105" s="32" t="s">
        <v>164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8" t="s">
        <v>167</v>
      </c>
      <c r="B106" s="9">
        <v>20.0</v>
      </c>
      <c r="C106" s="30">
        <v>5.0</v>
      </c>
      <c r="D106" s="31">
        <f t="shared" si="2"/>
        <v>100</v>
      </c>
      <c r="E106" s="32" t="s">
        <v>164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8" t="s">
        <v>169</v>
      </c>
      <c r="B107" s="9">
        <v>20.0</v>
      </c>
      <c r="C107" s="30">
        <v>5.0</v>
      </c>
      <c r="D107" s="31">
        <f t="shared" si="2"/>
        <v>100</v>
      </c>
      <c r="E107" s="32" t="s">
        <v>164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8" t="s">
        <v>170</v>
      </c>
      <c r="B108" s="9">
        <v>80.0</v>
      </c>
      <c r="C108" s="30">
        <v>3.0</v>
      </c>
      <c r="D108" s="31">
        <f t="shared" si="2"/>
        <v>240</v>
      </c>
      <c r="E108" s="32" t="s">
        <v>164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8" t="s">
        <v>171</v>
      </c>
      <c r="B109" s="9">
        <v>10.0</v>
      </c>
      <c r="C109" s="30">
        <v>2000.0</v>
      </c>
      <c r="D109" s="31">
        <f t="shared" si="2"/>
        <v>20000</v>
      </c>
      <c r="E109" s="32" t="s">
        <v>164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8" t="s">
        <v>172</v>
      </c>
      <c r="B110" s="9">
        <v>3.0</v>
      </c>
      <c r="C110" s="30">
        <v>2000.0</v>
      </c>
      <c r="D110" s="31">
        <f t="shared" si="2"/>
        <v>6000</v>
      </c>
      <c r="E110" s="32" t="s">
        <v>164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8" t="s">
        <v>173</v>
      </c>
      <c r="B111" s="9">
        <v>3.0</v>
      </c>
      <c r="C111" s="30">
        <v>150.0</v>
      </c>
      <c r="D111" s="31">
        <f t="shared" si="2"/>
        <v>450</v>
      </c>
      <c r="E111" s="32" t="s">
        <v>164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8" t="s">
        <v>174</v>
      </c>
      <c r="B112" s="9">
        <v>2.0</v>
      </c>
      <c r="C112" s="30">
        <v>200.0</v>
      </c>
      <c r="D112" s="31">
        <f t="shared" si="2"/>
        <v>400</v>
      </c>
      <c r="E112" s="32" t="s">
        <v>164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8" t="s">
        <v>175</v>
      </c>
      <c r="B113" s="9">
        <v>1.0</v>
      </c>
      <c r="C113" s="30">
        <v>200.0</v>
      </c>
      <c r="D113" s="31">
        <f t="shared" si="2"/>
        <v>200</v>
      </c>
      <c r="E113" s="32" t="s">
        <v>164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8" t="s">
        <v>176</v>
      </c>
      <c r="B114" s="9">
        <v>1.0</v>
      </c>
      <c r="C114" s="30">
        <v>1000.0</v>
      </c>
      <c r="D114" s="31">
        <f t="shared" si="2"/>
        <v>1000</v>
      </c>
      <c r="E114" s="32" t="s">
        <v>164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8" t="s">
        <v>177</v>
      </c>
      <c r="B115" s="9">
        <v>1.0</v>
      </c>
      <c r="C115" s="30">
        <v>150.0</v>
      </c>
      <c r="D115" s="31">
        <f t="shared" si="2"/>
        <v>150</v>
      </c>
      <c r="E115" s="32" t="s">
        <v>164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8" t="s">
        <v>178</v>
      </c>
      <c r="B116" s="9">
        <v>2.0</v>
      </c>
      <c r="C116" s="30">
        <v>200.0</v>
      </c>
      <c r="D116" s="31">
        <f t="shared" si="2"/>
        <v>400</v>
      </c>
      <c r="E116" s="32" t="s">
        <v>164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8" t="s">
        <v>179</v>
      </c>
      <c r="B117" s="9">
        <v>1.0</v>
      </c>
      <c r="C117" s="30">
        <v>6200.0</v>
      </c>
      <c r="D117" s="31">
        <f t="shared" si="2"/>
        <v>6200</v>
      </c>
      <c r="E117" s="32" t="s">
        <v>164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8" t="s">
        <v>252</v>
      </c>
      <c r="B118" s="9">
        <v>1.0</v>
      </c>
      <c r="C118" s="30">
        <v>400.0</v>
      </c>
      <c r="D118" s="31">
        <f t="shared" si="2"/>
        <v>400</v>
      </c>
      <c r="E118" s="32" t="s">
        <v>164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8" t="s">
        <v>253</v>
      </c>
      <c r="B119" s="9">
        <v>1.0</v>
      </c>
      <c r="C119" s="30">
        <v>650.0</v>
      </c>
      <c r="D119" s="31">
        <f t="shared" si="2"/>
        <v>650</v>
      </c>
      <c r="E119" s="32" t="s">
        <v>164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8" t="s">
        <v>182</v>
      </c>
      <c r="B120" s="9">
        <v>3.0</v>
      </c>
      <c r="C120" s="30">
        <v>150000.0</v>
      </c>
      <c r="D120" s="31">
        <f t="shared" si="2"/>
        <v>450000</v>
      </c>
      <c r="E120" s="32" t="s">
        <v>164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0"/>
      <c r="B121" s="15"/>
      <c r="C121" s="30"/>
      <c r="D121" s="1"/>
      <c r="E121" s="3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8" t="s">
        <v>184</v>
      </c>
      <c r="B122" s="9">
        <v>1.0</v>
      </c>
      <c r="C122" s="30">
        <v>1100.0</v>
      </c>
      <c r="D122" s="31">
        <f t="shared" ref="D122:D124" si="3">B122*C122</f>
        <v>1100</v>
      </c>
      <c r="E122" s="32" t="s">
        <v>41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8" t="s">
        <v>185</v>
      </c>
      <c r="B123" s="9">
        <v>30.0</v>
      </c>
      <c r="C123" s="30">
        <v>1.5</v>
      </c>
      <c r="D123" s="31">
        <f t="shared" si="3"/>
        <v>45</v>
      </c>
      <c r="E123" s="32" t="s">
        <v>41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 t="s">
        <v>186</v>
      </c>
      <c r="B124" s="9">
        <v>7.0</v>
      </c>
      <c r="C124" s="30">
        <v>150.0</v>
      </c>
      <c r="D124" s="31">
        <f t="shared" si="3"/>
        <v>1050</v>
      </c>
      <c r="E124" s="32" t="s">
        <v>41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0"/>
      <c r="B125" s="15"/>
      <c r="C125" s="30"/>
      <c r="D125" s="1"/>
      <c r="E125" s="3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 t="s">
        <v>111</v>
      </c>
      <c r="B126" s="9">
        <v>2.0</v>
      </c>
      <c r="C126" s="30">
        <v>625.0</v>
      </c>
      <c r="D126" s="31">
        <f t="shared" ref="D126:D141" si="4">B126*C126</f>
        <v>1250</v>
      </c>
      <c r="E126" s="32" t="s">
        <v>187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 t="s">
        <v>181</v>
      </c>
      <c r="B127" s="9">
        <v>1.0</v>
      </c>
      <c r="C127" s="30">
        <v>650.0</v>
      </c>
      <c r="D127" s="31">
        <f t="shared" si="4"/>
        <v>650</v>
      </c>
      <c r="E127" s="32" t="s">
        <v>187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 t="s">
        <v>188</v>
      </c>
      <c r="B128" s="9">
        <v>2.0</v>
      </c>
      <c r="C128" s="30">
        <v>150.0</v>
      </c>
      <c r="D128" s="31">
        <f t="shared" si="4"/>
        <v>300</v>
      </c>
      <c r="E128" s="32" t="s">
        <v>187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 t="s">
        <v>189</v>
      </c>
      <c r="B129" s="9">
        <v>2.0</v>
      </c>
      <c r="C129" s="30">
        <v>170.0</v>
      </c>
      <c r="D129" s="31">
        <f t="shared" si="4"/>
        <v>340</v>
      </c>
      <c r="E129" s="32" t="s">
        <v>187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 t="s">
        <v>190</v>
      </c>
      <c r="B130" s="9">
        <v>1.0</v>
      </c>
      <c r="C130" s="30">
        <v>100.0</v>
      </c>
      <c r="D130" s="31">
        <f t="shared" si="4"/>
        <v>100</v>
      </c>
      <c r="E130" s="32" t="s">
        <v>187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8" t="s">
        <v>191</v>
      </c>
      <c r="B131" s="9">
        <v>1.0</v>
      </c>
      <c r="C131" s="30">
        <v>200.0</v>
      </c>
      <c r="D131" s="31">
        <f t="shared" si="4"/>
        <v>200</v>
      </c>
      <c r="E131" s="32" t="s">
        <v>187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8" t="s">
        <v>192</v>
      </c>
      <c r="B132" s="9">
        <v>1.0</v>
      </c>
      <c r="C132" s="30">
        <v>150.0</v>
      </c>
      <c r="D132" s="31">
        <f t="shared" si="4"/>
        <v>150</v>
      </c>
      <c r="E132" s="32" t="s">
        <v>187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8" t="s">
        <v>193</v>
      </c>
      <c r="B133" s="9">
        <v>2.0</v>
      </c>
      <c r="C133" s="30">
        <v>65.0</v>
      </c>
      <c r="D133" s="31">
        <f t="shared" si="4"/>
        <v>130</v>
      </c>
      <c r="E133" s="32" t="s">
        <v>187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8" t="s">
        <v>194</v>
      </c>
      <c r="B134" s="9">
        <v>1.0</v>
      </c>
      <c r="C134" s="30">
        <v>200.0</v>
      </c>
      <c r="D134" s="31">
        <f t="shared" si="4"/>
        <v>200</v>
      </c>
      <c r="E134" s="32" t="s">
        <v>187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8" t="s">
        <v>195</v>
      </c>
      <c r="B135" s="9">
        <v>10.0</v>
      </c>
      <c r="C135" s="30">
        <v>1200.0</v>
      </c>
      <c r="D135" s="31">
        <f t="shared" si="4"/>
        <v>12000</v>
      </c>
      <c r="E135" s="32" t="s">
        <v>187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8" t="s">
        <v>197</v>
      </c>
      <c r="B136" s="9">
        <v>1.0</v>
      </c>
      <c r="C136" s="30">
        <v>1800.0</v>
      </c>
      <c r="D136" s="31">
        <f t="shared" si="4"/>
        <v>1800</v>
      </c>
      <c r="E136" s="32" t="s">
        <v>187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8" t="s">
        <v>198</v>
      </c>
      <c r="B137" s="9">
        <v>1.0</v>
      </c>
      <c r="C137" s="30">
        <v>0.0</v>
      </c>
      <c r="D137" s="31">
        <f t="shared" si="4"/>
        <v>0</v>
      </c>
      <c r="E137" s="32" t="s">
        <v>187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8" t="s">
        <v>200</v>
      </c>
      <c r="B138" s="9">
        <v>1.0</v>
      </c>
      <c r="C138" s="30">
        <v>0.0</v>
      </c>
      <c r="D138" s="31">
        <f t="shared" si="4"/>
        <v>0</v>
      </c>
      <c r="E138" s="32" t="s">
        <v>187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8" t="s">
        <v>201</v>
      </c>
      <c r="B139" s="9">
        <v>1.0</v>
      </c>
      <c r="C139" s="30">
        <v>0.0</v>
      </c>
      <c r="D139" s="31">
        <f t="shared" si="4"/>
        <v>0</v>
      </c>
      <c r="E139" s="32" t="s">
        <v>187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8" t="s">
        <v>202</v>
      </c>
      <c r="B140" s="9">
        <v>1.0</v>
      </c>
      <c r="C140" s="30">
        <v>900.0</v>
      </c>
      <c r="D140" s="31">
        <f t="shared" si="4"/>
        <v>900</v>
      </c>
      <c r="E140" s="32" t="s">
        <v>187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8" t="s">
        <v>203</v>
      </c>
      <c r="B141" s="9">
        <v>1.0</v>
      </c>
      <c r="C141" s="30">
        <v>900.0</v>
      </c>
      <c r="D141" s="31">
        <f t="shared" si="4"/>
        <v>900</v>
      </c>
      <c r="E141" s="32" t="s">
        <v>187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5"/>
      <c r="B142" s="15"/>
      <c r="C142" s="30"/>
      <c r="D142" s="1"/>
      <c r="E142" s="3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6" t="s">
        <v>205</v>
      </c>
      <c r="B143" s="17">
        <v>1.0</v>
      </c>
      <c r="C143" s="30">
        <v>13000.0</v>
      </c>
      <c r="D143" s="31">
        <f t="shared" ref="D143:D148" si="5">B143*C143</f>
        <v>13000</v>
      </c>
      <c r="E143" s="32" t="s">
        <v>7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6" t="s">
        <v>206</v>
      </c>
      <c r="B144" s="17">
        <v>1.0</v>
      </c>
      <c r="C144" s="30">
        <v>3000.0</v>
      </c>
      <c r="D144" s="31">
        <f t="shared" si="5"/>
        <v>3000</v>
      </c>
      <c r="E144" s="32" t="s">
        <v>7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6" t="s">
        <v>207</v>
      </c>
      <c r="B145" s="17">
        <v>1.0</v>
      </c>
      <c r="C145" s="30">
        <v>165.0</v>
      </c>
      <c r="D145" s="31">
        <f t="shared" si="5"/>
        <v>165</v>
      </c>
      <c r="E145" s="32" t="s">
        <v>7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6" t="s">
        <v>208</v>
      </c>
      <c r="B146" s="17">
        <v>1.0</v>
      </c>
      <c r="C146" s="30">
        <v>200.0</v>
      </c>
      <c r="D146" s="31">
        <f t="shared" si="5"/>
        <v>200</v>
      </c>
      <c r="E146" s="32" t="s">
        <v>7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6" t="s">
        <v>209</v>
      </c>
      <c r="B147" s="17">
        <v>1.0</v>
      </c>
      <c r="C147" s="30">
        <v>800.0</v>
      </c>
      <c r="D147" s="31">
        <f t="shared" si="5"/>
        <v>800</v>
      </c>
      <c r="E147" s="32" t="s">
        <v>7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6" t="s">
        <v>210</v>
      </c>
      <c r="B148" s="17">
        <v>1.0</v>
      </c>
      <c r="C148" s="30">
        <v>30.0</v>
      </c>
      <c r="D148" s="31">
        <f t="shared" si="5"/>
        <v>30</v>
      </c>
      <c r="E148" s="32" t="s">
        <v>7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6"/>
      <c r="B149" s="17"/>
      <c r="C149" s="30"/>
      <c r="D149" s="1"/>
      <c r="E149" s="3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8" t="s">
        <v>211</v>
      </c>
      <c r="B150" s="5"/>
      <c r="C150" s="5"/>
      <c r="D150" s="6"/>
      <c r="E150" s="3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6" t="s">
        <v>212</v>
      </c>
      <c r="B151" s="17">
        <v>8.0</v>
      </c>
      <c r="C151" s="30">
        <v>180.0</v>
      </c>
      <c r="D151" s="31">
        <f t="shared" ref="D151:D156" si="6">B151*C151</f>
        <v>1440</v>
      </c>
      <c r="E151" s="32" t="s">
        <v>254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6" t="s">
        <v>214</v>
      </c>
      <c r="B152" s="17">
        <v>7.0</v>
      </c>
      <c r="C152" s="30">
        <v>75.0</v>
      </c>
      <c r="D152" s="31">
        <f t="shared" si="6"/>
        <v>525</v>
      </c>
      <c r="E152" s="32" t="s">
        <v>254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6" t="s">
        <v>215</v>
      </c>
      <c r="B153" s="17">
        <v>1.0</v>
      </c>
      <c r="C153" s="30">
        <v>40.0</v>
      </c>
      <c r="D153" s="31">
        <f t="shared" si="6"/>
        <v>40</v>
      </c>
      <c r="E153" s="32" t="s">
        <v>254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6" t="s">
        <v>216</v>
      </c>
      <c r="B154" s="17">
        <v>9.0</v>
      </c>
      <c r="C154" s="30">
        <v>100.0</v>
      </c>
      <c r="D154" s="31">
        <f t="shared" si="6"/>
        <v>900</v>
      </c>
      <c r="E154" s="32" t="s">
        <v>254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6" t="s">
        <v>217</v>
      </c>
      <c r="B155" s="17">
        <v>3.0</v>
      </c>
      <c r="C155" s="30">
        <v>120.0</v>
      </c>
      <c r="D155" s="31">
        <f t="shared" si="6"/>
        <v>360</v>
      </c>
      <c r="E155" s="32" t="s">
        <v>254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6" t="s">
        <v>218</v>
      </c>
      <c r="B156" s="17">
        <v>1.0</v>
      </c>
      <c r="C156" s="30">
        <v>165.0</v>
      </c>
      <c r="D156" s="31">
        <f t="shared" si="6"/>
        <v>165</v>
      </c>
      <c r="E156" s="32" t="s">
        <v>254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9"/>
      <c r="B157" s="20"/>
      <c r="C157" s="30"/>
      <c r="D157" s="1"/>
      <c r="E157" s="3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6" t="s">
        <v>220</v>
      </c>
      <c r="B158" s="17">
        <v>1.0</v>
      </c>
      <c r="C158" s="30">
        <v>50.0</v>
      </c>
      <c r="D158" s="31">
        <f t="shared" ref="D158:D164" si="7">B158*C158</f>
        <v>50</v>
      </c>
      <c r="E158" s="32" t="s">
        <v>254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6" t="s">
        <v>221</v>
      </c>
      <c r="B159" s="17">
        <v>1.0</v>
      </c>
      <c r="C159" s="30">
        <v>65.0</v>
      </c>
      <c r="D159" s="31">
        <f t="shared" si="7"/>
        <v>65</v>
      </c>
      <c r="E159" s="32" t="s">
        <v>254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6" t="s">
        <v>222</v>
      </c>
      <c r="B160" s="17">
        <v>1.0</v>
      </c>
      <c r="C160" s="30">
        <v>165.0</v>
      </c>
      <c r="D160" s="31">
        <f t="shared" si="7"/>
        <v>165</v>
      </c>
      <c r="E160" s="32" t="s">
        <v>254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6" t="s">
        <v>223</v>
      </c>
      <c r="B161" s="17">
        <v>1.0</v>
      </c>
      <c r="C161" s="30">
        <v>95.0</v>
      </c>
      <c r="D161" s="31">
        <f t="shared" si="7"/>
        <v>95</v>
      </c>
      <c r="E161" s="32" t="s">
        <v>254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6" t="s">
        <v>224</v>
      </c>
      <c r="B162" s="17">
        <v>1.0</v>
      </c>
      <c r="C162" s="30">
        <v>40.0</v>
      </c>
      <c r="D162" s="31">
        <f t="shared" si="7"/>
        <v>40</v>
      </c>
      <c r="E162" s="32" t="s">
        <v>254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6" t="s">
        <v>225</v>
      </c>
      <c r="B163" s="17">
        <v>2.0</v>
      </c>
      <c r="C163" s="30">
        <v>135.0</v>
      </c>
      <c r="D163" s="31">
        <f t="shared" si="7"/>
        <v>270</v>
      </c>
      <c r="E163" s="32" t="s">
        <v>254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6" t="s">
        <v>226</v>
      </c>
      <c r="B164" s="17">
        <v>1.0</v>
      </c>
      <c r="C164" s="30">
        <v>65.0</v>
      </c>
      <c r="D164" s="31">
        <f t="shared" si="7"/>
        <v>65</v>
      </c>
      <c r="E164" s="32" t="s">
        <v>254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9"/>
      <c r="B165" s="20"/>
      <c r="C165" s="30"/>
      <c r="D165" s="1"/>
      <c r="E165" s="3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6" t="s">
        <v>255</v>
      </c>
      <c r="B166" s="17">
        <v>3.0</v>
      </c>
      <c r="C166" s="30">
        <v>70.0</v>
      </c>
      <c r="D166" s="31">
        <f t="shared" ref="D166:D171" si="8">B166*C166</f>
        <v>210</v>
      </c>
      <c r="E166" s="32" t="s">
        <v>254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6" t="s">
        <v>230</v>
      </c>
      <c r="B167" s="17">
        <v>1.0</v>
      </c>
      <c r="C167" s="30">
        <v>10.0</v>
      </c>
      <c r="D167" s="31">
        <f t="shared" si="8"/>
        <v>10</v>
      </c>
      <c r="E167" s="32" t="s">
        <v>254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6" t="s">
        <v>231</v>
      </c>
      <c r="B168" s="17">
        <v>1.0</v>
      </c>
      <c r="C168" s="30">
        <v>200.0</v>
      </c>
      <c r="D168" s="31">
        <f t="shared" si="8"/>
        <v>200</v>
      </c>
      <c r="E168" s="32" t="s">
        <v>254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6" t="s">
        <v>141</v>
      </c>
      <c r="B169" s="17">
        <v>1.0</v>
      </c>
      <c r="C169" s="30">
        <v>75.0</v>
      </c>
      <c r="D169" s="31">
        <f t="shared" si="8"/>
        <v>75</v>
      </c>
      <c r="E169" s="32" t="s">
        <v>254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6" t="s">
        <v>256</v>
      </c>
      <c r="B170" s="17">
        <v>3.0</v>
      </c>
      <c r="C170" s="30">
        <v>70.0</v>
      </c>
      <c r="D170" s="31">
        <f t="shared" si="8"/>
        <v>210</v>
      </c>
      <c r="E170" s="32" t="s">
        <v>254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6" t="s">
        <v>234</v>
      </c>
      <c r="B171" s="17">
        <v>4.0</v>
      </c>
      <c r="C171" s="30">
        <v>30.0</v>
      </c>
      <c r="D171" s="31">
        <f t="shared" si="8"/>
        <v>120</v>
      </c>
      <c r="E171" s="32" t="s">
        <v>254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0"/>
      <c r="B172" s="15"/>
      <c r="C172" s="30"/>
      <c r="D172" s="1"/>
      <c r="E172" s="3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8" t="s">
        <v>8</v>
      </c>
      <c r="B173" s="36">
        <v>1.0</v>
      </c>
      <c r="C173" s="30">
        <v>70.0</v>
      </c>
      <c r="D173" s="31">
        <f t="shared" ref="D173:D181" si="9">B173*C173</f>
        <v>70</v>
      </c>
      <c r="E173" s="32" t="s">
        <v>7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8" t="s">
        <v>9</v>
      </c>
      <c r="B174" s="36">
        <v>8.0</v>
      </c>
      <c r="C174" s="30">
        <v>140.0</v>
      </c>
      <c r="D174" s="31">
        <f t="shared" si="9"/>
        <v>1120</v>
      </c>
      <c r="E174" s="32" t="s">
        <v>7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8" t="s">
        <v>257</v>
      </c>
      <c r="B175" s="36">
        <v>6.0</v>
      </c>
      <c r="C175" s="30">
        <v>1100.0</v>
      </c>
      <c r="D175" s="31">
        <f t="shared" si="9"/>
        <v>6600</v>
      </c>
      <c r="E175" s="32" t="s">
        <v>7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8" t="s">
        <v>14</v>
      </c>
      <c r="B176" s="36">
        <v>1.0</v>
      </c>
      <c r="C176" s="30">
        <v>300.0</v>
      </c>
      <c r="D176" s="31">
        <f t="shared" si="9"/>
        <v>300</v>
      </c>
      <c r="E176" s="32" t="s">
        <v>7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8" t="s">
        <v>17</v>
      </c>
      <c r="B177" s="36">
        <v>2.0</v>
      </c>
      <c r="C177" s="30">
        <v>560.0</v>
      </c>
      <c r="D177" s="31">
        <f t="shared" si="9"/>
        <v>1120</v>
      </c>
      <c r="E177" s="32" t="s">
        <v>7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8" t="s">
        <v>258</v>
      </c>
      <c r="B178" s="36">
        <v>10.0</v>
      </c>
      <c r="C178" s="30">
        <v>1400.0</v>
      </c>
      <c r="D178" s="31">
        <f t="shared" si="9"/>
        <v>14000</v>
      </c>
      <c r="E178" s="32" t="s">
        <v>7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8" t="s">
        <v>24</v>
      </c>
      <c r="B179" s="36">
        <v>1.0</v>
      </c>
      <c r="C179" s="30">
        <v>150.0</v>
      </c>
      <c r="D179" s="31">
        <f t="shared" si="9"/>
        <v>150</v>
      </c>
      <c r="E179" s="32" t="s">
        <v>7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8" t="s">
        <v>27</v>
      </c>
      <c r="B180" s="36">
        <v>3.0</v>
      </c>
      <c r="C180" s="30">
        <v>300.0</v>
      </c>
      <c r="D180" s="31">
        <f t="shared" si="9"/>
        <v>900</v>
      </c>
      <c r="E180" s="32" t="s">
        <v>7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1" t="s">
        <v>30</v>
      </c>
      <c r="B181" s="12">
        <v>5.0</v>
      </c>
      <c r="C181" s="30">
        <v>200.0</v>
      </c>
      <c r="D181" s="31">
        <f t="shared" si="9"/>
        <v>1000</v>
      </c>
      <c r="E181" s="32" t="s">
        <v>7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0"/>
      <c r="B182" s="37"/>
      <c r="C182" s="38"/>
      <c r="D182" s="1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0"/>
      <c r="B183" s="37"/>
      <c r="C183" s="38"/>
      <c r="D183" s="1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0"/>
      <c r="B184" s="37"/>
      <c r="C184" s="38"/>
      <c r="D184" s="1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0"/>
      <c r="B185" s="37"/>
      <c r="C185" s="38"/>
      <c r="D185" s="1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0"/>
      <c r="B186" s="37"/>
      <c r="C186" s="38"/>
      <c r="D186" s="1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 t="s">
        <v>41</v>
      </c>
      <c r="B187" s="5"/>
      <c r="C187" s="5"/>
      <c r="D187" s="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8" t="s">
        <v>43</v>
      </c>
      <c r="B188" s="36">
        <v>2.0</v>
      </c>
      <c r="C188" s="30">
        <v>250.0</v>
      </c>
      <c r="D188" s="31">
        <f t="shared" ref="D188:D195" si="10">B188*C188</f>
        <v>500</v>
      </c>
      <c r="E188" s="32" t="s">
        <v>41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8" t="s">
        <v>46</v>
      </c>
      <c r="B189" s="36">
        <v>2.0</v>
      </c>
      <c r="C189" s="30">
        <v>90.0</v>
      </c>
      <c r="D189" s="31">
        <f t="shared" si="10"/>
        <v>180</v>
      </c>
      <c r="E189" s="32" t="s">
        <v>41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8" t="s">
        <v>48</v>
      </c>
      <c r="B190" s="36">
        <v>1.0</v>
      </c>
      <c r="C190" s="30">
        <v>750.0</v>
      </c>
      <c r="D190" s="31">
        <f t="shared" si="10"/>
        <v>750</v>
      </c>
      <c r="E190" s="32" t="s">
        <v>41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8" t="s">
        <v>50</v>
      </c>
      <c r="B191" s="36">
        <v>4.0</v>
      </c>
      <c r="C191" s="30">
        <v>200.0</v>
      </c>
      <c r="D191" s="31">
        <f t="shared" si="10"/>
        <v>800</v>
      </c>
      <c r="E191" s="32" t="s">
        <v>41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8" t="s">
        <v>52</v>
      </c>
      <c r="B192" s="36">
        <v>2.0</v>
      </c>
      <c r="C192" s="30">
        <v>10.0</v>
      </c>
      <c r="D192" s="31">
        <f t="shared" si="10"/>
        <v>20</v>
      </c>
      <c r="E192" s="32" t="s">
        <v>41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8" t="s">
        <v>54</v>
      </c>
      <c r="B193" s="36">
        <v>1.0</v>
      </c>
      <c r="C193" s="30">
        <v>20.0</v>
      </c>
      <c r="D193" s="31">
        <f t="shared" si="10"/>
        <v>20</v>
      </c>
      <c r="E193" s="32" t="s">
        <v>41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8" t="s">
        <v>57</v>
      </c>
      <c r="B194" s="36">
        <v>1.0</v>
      </c>
      <c r="C194" s="30">
        <v>30.0</v>
      </c>
      <c r="D194" s="31">
        <f t="shared" si="10"/>
        <v>30</v>
      </c>
      <c r="E194" s="32" t="s">
        <v>41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8" t="s">
        <v>59</v>
      </c>
      <c r="B195" s="36">
        <v>1.0</v>
      </c>
      <c r="C195" s="30">
        <v>210.0</v>
      </c>
      <c r="D195" s="31">
        <f t="shared" si="10"/>
        <v>210</v>
      </c>
      <c r="E195" s="32" t="s">
        <v>41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0"/>
      <c r="B196" s="37"/>
      <c r="C196" s="38"/>
      <c r="D196" s="1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 t="s">
        <v>63</v>
      </c>
      <c r="B197" s="5"/>
      <c r="C197" s="5"/>
      <c r="D197" s="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8" t="s">
        <v>50</v>
      </c>
      <c r="B198" s="36">
        <v>1.0</v>
      </c>
      <c r="C198" s="30">
        <v>200.0</v>
      </c>
      <c r="D198" s="31">
        <f t="shared" ref="D198:D204" si="11">B198*C198</f>
        <v>200</v>
      </c>
      <c r="E198" s="32" t="s">
        <v>63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8" t="s">
        <v>67</v>
      </c>
      <c r="B199" s="36">
        <v>1.0</v>
      </c>
      <c r="C199" s="30">
        <v>400.0</v>
      </c>
      <c r="D199" s="31">
        <f t="shared" si="11"/>
        <v>400</v>
      </c>
      <c r="E199" s="32" t="s">
        <v>63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8" t="s">
        <v>70</v>
      </c>
      <c r="B200" s="36">
        <v>1.0</v>
      </c>
      <c r="C200" s="30">
        <v>320.0</v>
      </c>
      <c r="D200" s="31">
        <f t="shared" si="11"/>
        <v>320</v>
      </c>
      <c r="E200" s="32" t="s">
        <v>63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8" t="s">
        <v>72</v>
      </c>
      <c r="B201" s="36">
        <v>1.0</v>
      </c>
      <c r="C201" s="30">
        <v>160.0</v>
      </c>
      <c r="D201" s="31">
        <f t="shared" si="11"/>
        <v>160</v>
      </c>
      <c r="E201" s="32" t="s">
        <v>63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8" t="s">
        <v>259</v>
      </c>
      <c r="B202" s="36">
        <v>1.0</v>
      </c>
      <c r="C202" s="30">
        <v>150.0</v>
      </c>
      <c r="D202" s="31">
        <f t="shared" si="11"/>
        <v>150</v>
      </c>
      <c r="E202" s="32" t="s">
        <v>63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8" t="s">
        <v>77</v>
      </c>
      <c r="B203" s="36">
        <v>1.0</v>
      </c>
      <c r="C203" s="30">
        <v>1500.0</v>
      </c>
      <c r="D203" s="31">
        <f t="shared" si="11"/>
        <v>1500</v>
      </c>
      <c r="E203" s="32" t="s">
        <v>63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8" t="s">
        <v>79</v>
      </c>
      <c r="B204" s="36">
        <v>1.0</v>
      </c>
      <c r="C204" s="30">
        <v>300.0</v>
      </c>
      <c r="D204" s="31">
        <f t="shared" si="11"/>
        <v>300</v>
      </c>
      <c r="E204" s="32" t="s">
        <v>63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0"/>
      <c r="B205" s="37"/>
      <c r="C205" s="38"/>
      <c r="D205" s="1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 t="s">
        <v>86</v>
      </c>
      <c r="B206" s="36">
        <v>1.0</v>
      </c>
      <c r="C206" s="30">
        <v>130.0</v>
      </c>
      <c r="D206" s="31">
        <f t="shared" ref="D206:D210" si="12">B206*C206</f>
        <v>130</v>
      </c>
      <c r="E206" s="32" t="s">
        <v>84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 t="s">
        <v>89</v>
      </c>
      <c r="B207" s="36">
        <v>1.0</v>
      </c>
      <c r="C207" s="30">
        <v>45.0</v>
      </c>
      <c r="D207" s="31">
        <f t="shared" si="12"/>
        <v>45</v>
      </c>
      <c r="E207" s="32" t="s">
        <v>84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 t="s">
        <v>91</v>
      </c>
      <c r="B208" s="36">
        <v>1.0</v>
      </c>
      <c r="C208" s="30">
        <v>300.0</v>
      </c>
      <c r="D208" s="31">
        <f t="shared" si="12"/>
        <v>300</v>
      </c>
      <c r="E208" s="32" t="s">
        <v>84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 t="s">
        <v>94</v>
      </c>
      <c r="B209" s="36">
        <v>2.0</v>
      </c>
      <c r="C209" s="30">
        <v>130.0</v>
      </c>
      <c r="D209" s="31">
        <f t="shared" si="12"/>
        <v>260</v>
      </c>
      <c r="E209" s="32" t="s">
        <v>84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 t="s">
        <v>96</v>
      </c>
      <c r="B210" s="36">
        <v>1.0</v>
      </c>
      <c r="C210" s="30">
        <v>15.0</v>
      </c>
      <c r="D210" s="31">
        <f t="shared" si="12"/>
        <v>15</v>
      </c>
      <c r="E210" s="32" t="s">
        <v>84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0"/>
      <c r="B211" s="37"/>
      <c r="C211" s="38"/>
      <c r="D211" s="1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 t="s">
        <v>260</v>
      </c>
      <c r="B212" s="9">
        <v>1.0</v>
      </c>
      <c r="C212" s="30">
        <v>289999.0</v>
      </c>
      <c r="D212" s="31">
        <f t="shared" ref="D212:D222" si="13">B212*C212</f>
        <v>289999</v>
      </c>
      <c r="E212" s="32" t="s">
        <v>261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2" t="s">
        <v>262</v>
      </c>
      <c r="B213" s="39">
        <v>1.0</v>
      </c>
      <c r="C213" s="40">
        <v>10000.0</v>
      </c>
      <c r="D213" s="31">
        <f t="shared" si="13"/>
        <v>10000</v>
      </c>
      <c r="E213" s="32" t="s">
        <v>261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1" t="s">
        <v>263</v>
      </c>
      <c r="B214" s="39">
        <v>1.0</v>
      </c>
      <c r="C214" s="40">
        <v>1400.0</v>
      </c>
      <c r="D214" s="31">
        <f t="shared" si="13"/>
        <v>1400</v>
      </c>
      <c r="E214" s="32" t="s">
        <v>261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2" t="s">
        <v>264</v>
      </c>
      <c r="B215" s="39">
        <v>1.0</v>
      </c>
      <c r="C215" s="40">
        <v>2000.0</v>
      </c>
      <c r="D215" s="31">
        <f t="shared" si="13"/>
        <v>2000</v>
      </c>
      <c r="E215" s="32" t="s">
        <v>261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2" t="s">
        <v>265</v>
      </c>
      <c r="B216" s="39">
        <v>1.0</v>
      </c>
      <c r="C216" s="40">
        <v>499.0</v>
      </c>
      <c r="D216" s="31">
        <f t="shared" si="13"/>
        <v>499</v>
      </c>
      <c r="E216" s="32" t="s">
        <v>261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2" t="s">
        <v>266</v>
      </c>
      <c r="B217" s="39">
        <v>1.0</v>
      </c>
      <c r="C217" s="40">
        <v>25.0</v>
      </c>
      <c r="D217" s="31">
        <f t="shared" si="13"/>
        <v>25</v>
      </c>
      <c r="E217" s="32" t="s">
        <v>261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2" t="s">
        <v>267</v>
      </c>
      <c r="B218" s="39">
        <v>1.0</v>
      </c>
      <c r="C218" s="40">
        <v>900.0</v>
      </c>
      <c r="D218" s="31">
        <f t="shared" si="13"/>
        <v>900</v>
      </c>
      <c r="E218" s="32" t="s">
        <v>261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2" t="s">
        <v>268</v>
      </c>
      <c r="B219" s="39">
        <v>1.0</v>
      </c>
      <c r="C219" s="40">
        <v>11500.0</v>
      </c>
      <c r="D219" s="31">
        <f t="shared" si="13"/>
        <v>11500</v>
      </c>
      <c r="E219" s="32" t="s">
        <v>261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2" t="s">
        <v>269</v>
      </c>
      <c r="B220" s="39">
        <v>1.0</v>
      </c>
      <c r="C220" s="40">
        <v>1500.0</v>
      </c>
      <c r="D220" s="31">
        <f t="shared" si="13"/>
        <v>1500</v>
      </c>
      <c r="E220" s="32" t="s">
        <v>261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2" t="s">
        <v>270</v>
      </c>
      <c r="B221" s="39">
        <v>1.0</v>
      </c>
      <c r="C221" s="40">
        <v>1400.0</v>
      </c>
      <c r="D221" s="31">
        <f t="shared" si="13"/>
        <v>1400</v>
      </c>
      <c r="E221" s="32" t="s">
        <v>261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2" t="s">
        <v>271</v>
      </c>
      <c r="B222" s="39">
        <v>1.0</v>
      </c>
      <c r="C222" s="40">
        <v>400.0</v>
      </c>
      <c r="D222" s="31">
        <f t="shared" si="13"/>
        <v>400</v>
      </c>
      <c r="E222" s="32" t="s">
        <v>261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1"/>
      <c r="C223" s="4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1"/>
      <c r="C224" s="31" t="s">
        <v>272</v>
      </c>
      <c r="D224" s="43">
        <f>SUM(D1:D222)</f>
        <v>1290963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1"/>
      <c r="C225" s="4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1"/>
      <c r="C226" s="4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1"/>
      <c r="C227" s="4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1"/>
      <c r="C228" s="4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1"/>
      <c r="C229" s="4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1"/>
      <c r="C230" s="4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1"/>
      <c r="C231" s="4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1"/>
      <c r="C232" s="4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1"/>
      <c r="C233" s="4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1"/>
      <c r="C234" s="4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1"/>
      <c r="C235" s="4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1"/>
      <c r="C236" s="4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1"/>
      <c r="C237" s="4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1"/>
      <c r="C238" s="4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1"/>
      <c r="C239" s="4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1"/>
      <c r="C240" s="4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1"/>
      <c r="C241" s="4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1"/>
      <c r="C242" s="4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1"/>
      <c r="C243" s="4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1"/>
      <c r="C244" s="4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1"/>
      <c r="C245" s="4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1"/>
      <c r="C246" s="4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1"/>
      <c r="C247" s="4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1"/>
      <c r="C248" s="4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1"/>
      <c r="C249" s="4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1"/>
      <c r="C250" s="4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1"/>
      <c r="C251" s="4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1"/>
      <c r="C252" s="4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1"/>
      <c r="C253" s="4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1"/>
      <c r="C254" s="4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1"/>
      <c r="C255" s="4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1"/>
      <c r="C256" s="4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1"/>
      <c r="C257" s="4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1"/>
      <c r="C258" s="4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1"/>
      <c r="C259" s="4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1"/>
      <c r="C260" s="4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1"/>
      <c r="C261" s="4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1"/>
      <c r="C262" s="4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1"/>
      <c r="C263" s="4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1"/>
      <c r="C264" s="4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1"/>
      <c r="C265" s="4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1"/>
      <c r="C266" s="4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1"/>
      <c r="C267" s="4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1"/>
      <c r="C268" s="4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1"/>
      <c r="C269" s="4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1"/>
      <c r="C270" s="4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1"/>
      <c r="C271" s="4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1"/>
      <c r="C272" s="4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1"/>
      <c r="C273" s="4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1"/>
      <c r="C274" s="4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1"/>
      <c r="C275" s="4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1"/>
      <c r="C276" s="4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1"/>
      <c r="C277" s="4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1"/>
      <c r="C278" s="4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1"/>
      <c r="C279" s="4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1"/>
      <c r="C280" s="4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1"/>
      <c r="C281" s="4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1"/>
      <c r="C282" s="4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1"/>
      <c r="C283" s="4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1"/>
      <c r="C284" s="4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1"/>
      <c r="C285" s="4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1"/>
      <c r="C286" s="4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1"/>
      <c r="C287" s="4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1"/>
      <c r="C288" s="4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1"/>
      <c r="C289" s="4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1"/>
      <c r="C290" s="4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1"/>
      <c r="C291" s="4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1"/>
      <c r="C292" s="4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1"/>
      <c r="C293" s="4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1"/>
      <c r="C294" s="4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1"/>
      <c r="C295" s="4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1"/>
      <c r="C296" s="4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1"/>
      <c r="C297" s="4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1"/>
      <c r="C298" s="4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1"/>
      <c r="C299" s="4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1"/>
      <c r="C300" s="4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1"/>
      <c r="C301" s="4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1"/>
      <c r="C302" s="4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1"/>
      <c r="C303" s="4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1"/>
      <c r="C304" s="4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1"/>
      <c r="C305" s="4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1"/>
      <c r="C306" s="4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1"/>
      <c r="C307" s="4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1"/>
      <c r="C308" s="4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1"/>
      <c r="C309" s="4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1"/>
      <c r="C310" s="4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1"/>
      <c r="C311" s="4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1"/>
      <c r="C312" s="4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1"/>
      <c r="C313" s="4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1"/>
      <c r="C314" s="4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1"/>
      <c r="C315" s="4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1"/>
      <c r="C316" s="4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1"/>
      <c r="C317" s="4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1"/>
      <c r="C318" s="4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1"/>
      <c r="C319" s="4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1"/>
      <c r="C320" s="4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1"/>
      <c r="C321" s="4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1"/>
      <c r="C322" s="4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1"/>
      <c r="C323" s="4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1"/>
      <c r="C324" s="4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1"/>
      <c r="C325" s="4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1"/>
      <c r="C326" s="4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1"/>
      <c r="C327" s="4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1"/>
      <c r="C328" s="4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1"/>
      <c r="C329" s="4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1"/>
      <c r="C330" s="4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1"/>
      <c r="C331" s="4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1"/>
      <c r="C332" s="4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1"/>
      <c r="C333" s="4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1"/>
      <c r="C334" s="4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1"/>
      <c r="C335" s="4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1"/>
      <c r="C336" s="4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1"/>
      <c r="C337" s="4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1"/>
      <c r="C338" s="4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1"/>
      <c r="C339" s="4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1"/>
      <c r="C340" s="4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1"/>
      <c r="C341" s="4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1"/>
      <c r="C342" s="4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1"/>
      <c r="C343" s="4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1"/>
      <c r="C344" s="4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1"/>
      <c r="C345" s="4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1"/>
      <c r="C346" s="4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1"/>
      <c r="C347" s="4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1"/>
      <c r="C348" s="4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1"/>
      <c r="C349" s="4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1"/>
      <c r="C350" s="4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1"/>
      <c r="C351" s="4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1"/>
      <c r="C352" s="4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1"/>
      <c r="C353" s="4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1"/>
      <c r="C354" s="4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1"/>
      <c r="C355" s="4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1"/>
      <c r="C356" s="4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1"/>
      <c r="C357" s="4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1"/>
      <c r="C358" s="4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1"/>
      <c r="C359" s="4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1"/>
      <c r="C360" s="4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1"/>
      <c r="C361" s="4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1"/>
      <c r="C362" s="4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1"/>
      <c r="C363" s="4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1"/>
      <c r="C364" s="4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1"/>
      <c r="C365" s="4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1"/>
      <c r="C366" s="4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1"/>
      <c r="C367" s="4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1"/>
      <c r="C368" s="4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1"/>
      <c r="C369" s="4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1"/>
      <c r="C370" s="4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1"/>
      <c r="C371" s="4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1"/>
      <c r="C372" s="4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1"/>
      <c r="C373" s="4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1"/>
      <c r="C374" s="4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1"/>
      <c r="C375" s="4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1"/>
      <c r="C376" s="4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1"/>
      <c r="C377" s="4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1"/>
      <c r="C378" s="4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1"/>
      <c r="C379" s="4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1"/>
      <c r="C380" s="4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1"/>
      <c r="C381" s="4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1"/>
      <c r="C382" s="4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1"/>
      <c r="C383" s="4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1"/>
      <c r="C384" s="4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1"/>
      <c r="C385" s="4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1"/>
      <c r="C386" s="4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1"/>
      <c r="C387" s="4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1"/>
      <c r="C388" s="4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1"/>
      <c r="C389" s="4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1"/>
      <c r="C390" s="4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1"/>
      <c r="C391" s="4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1"/>
      <c r="C392" s="4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1"/>
      <c r="C393" s="4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1"/>
      <c r="C394" s="4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1"/>
      <c r="C395" s="4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1"/>
      <c r="C396" s="4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1"/>
      <c r="C397" s="4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1"/>
      <c r="C398" s="4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1"/>
      <c r="C399" s="4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1"/>
      <c r="C400" s="4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1"/>
      <c r="C401" s="4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1"/>
      <c r="C402" s="4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1"/>
      <c r="C403" s="4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1"/>
      <c r="C404" s="4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1"/>
      <c r="C405" s="4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1"/>
      <c r="C406" s="4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1"/>
      <c r="C407" s="4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1"/>
      <c r="C408" s="4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1"/>
      <c r="C409" s="4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1"/>
      <c r="C410" s="4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1"/>
      <c r="C411" s="4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1"/>
      <c r="C412" s="4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1"/>
      <c r="C413" s="4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1"/>
      <c r="C414" s="4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1"/>
      <c r="C415" s="4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1"/>
      <c r="C416" s="4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1"/>
      <c r="C417" s="4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1"/>
      <c r="C418" s="4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1"/>
      <c r="C419" s="4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1"/>
      <c r="C420" s="4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1"/>
      <c r="C421" s="4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1"/>
      <c r="C422" s="4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1"/>
      <c r="C423" s="4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1"/>
      <c r="C424" s="4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1"/>
      <c r="C425" s="4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1"/>
      <c r="C426" s="4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1"/>
      <c r="C427" s="4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1"/>
      <c r="C428" s="4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1"/>
      <c r="C429" s="4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1"/>
      <c r="C430" s="4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1"/>
      <c r="C431" s="4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1"/>
      <c r="C432" s="4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1"/>
      <c r="C433" s="4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1"/>
      <c r="C434" s="4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1"/>
      <c r="C435" s="4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1"/>
      <c r="C436" s="4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1"/>
      <c r="C437" s="4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1"/>
      <c r="C438" s="4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1"/>
      <c r="C439" s="4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1"/>
      <c r="C440" s="4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1"/>
      <c r="C441" s="4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1"/>
      <c r="C442" s="4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1"/>
      <c r="C443" s="4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1"/>
      <c r="C444" s="4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1"/>
      <c r="C445" s="4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1"/>
      <c r="C446" s="4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1"/>
      <c r="C447" s="4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1"/>
      <c r="C448" s="4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1"/>
      <c r="C449" s="4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1"/>
      <c r="C450" s="4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1"/>
      <c r="C451" s="4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1"/>
      <c r="C452" s="4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1"/>
      <c r="C453" s="4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1"/>
      <c r="C454" s="4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1"/>
      <c r="C455" s="4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1"/>
      <c r="C456" s="4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1"/>
      <c r="C457" s="4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1"/>
      <c r="C458" s="4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1"/>
      <c r="C459" s="4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1"/>
      <c r="C460" s="4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1"/>
      <c r="C461" s="4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1"/>
      <c r="C462" s="4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1"/>
      <c r="C463" s="4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1"/>
      <c r="C464" s="4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1"/>
      <c r="C465" s="4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1"/>
      <c r="C466" s="4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1"/>
      <c r="C467" s="4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1"/>
      <c r="C468" s="4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1"/>
      <c r="C469" s="4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1"/>
      <c r="C470" s="4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1"/>
      <c r="C471" s="4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1"/>
      <c r="C472" s="4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1"/>
      <c r="C473" s="4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1"/>
      <c r="C474" s="4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1"/>
      <c r="C475" s="4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1"/>
      <c r="C476" s="4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1"/>
      <c r="C477" s="4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1"/>
      <c r="C478" s="4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1"/>
      <c r="C479" s="4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1"/>
      <c r="C480" s="4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1"/>
      <c r="C481" s="4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1"/>
      <c r="C482" s="4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1"/>
      <c r="C483" s="4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1"/>
      <c r="C484" s="4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1"/>
      <c r="C485" s="4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1"/>
      <c r="C486" s="4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1"/>
      <c r="C487" s="4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1"/>
      <c r="C488" s="4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1"/>
      <c r="C489" s="4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1"/>
      <c r="C490" s="4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1"/>
      <c r="C491" s="4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1"/>
      <c r="C492" s="4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1"/>
      <c r="C493" s="4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1"/>
      <c r="C494" s="4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1"/>
      <c r="C495" s="4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1"/>
      <c r="C496" s="4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1"/>
      <c r="C497" s="4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1"/>
      <c r="C498" s="4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1"/>
      <c r="C499" s="4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1"/>
      <c r="C500" s="4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1"/>
      <c r="C501" s="4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1"/>
      <c r="C502" s="4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1"/>
      <c r="C503" s="4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1"/>
      <c r="C504" s="4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1"/>
      <c r="C505" s="4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1"/>
      <c r="C506" s="4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1"/>
      <c r="C507" s="4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1"/>
      <c r="C508" s="4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1"/>
      <c r="C509" s="4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1"/>
      <c r="C510" s="4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1"/>
      <c r="C511" s="4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1"/>
      <c r="C512" s="4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1"/>
      <c r="C513" s="4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1"/>
      <c r="C514" s="4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1"/>
      <c r="C515" s="4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1"/>
      <c r="C516" s="4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1"/>
      <c r="C517" s="4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1"/>
      <c r="C518" s="4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1"/>
      <c r="C519" s="4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1"/>
      <c r="C520" s="4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1"/>
      <c r="C521" s="4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1"/>
      <c r="C522" s="4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1"/>
      <c r="C523" s="4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1"/>
      <c r="C524" s="4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1"/>
      <c r="C525" s="4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1"/>
      <c r="C526" s="4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1"/>
      <c r="C527" s="4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1"/>
      <c r="C528" s="4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1"/>
      <c r="C529" s="4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1"/>
      <c r="C530" s="4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1"/>
      <c r="C531" s="4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1"/>
      <c r="C532" s="4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1"/>
      <c r="C533" s="4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1"/>
      <c r="C534" s="4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1"/>
      <c r="C535" s="4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1"/>
      <c r="C536" s="4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1"/>
      <c r="C537" s="4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1"/>
      <c r="C538" s="4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1"/>
      <c r="C539" s="4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1"/>
      <c r="C540" s="4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1"/>
      <c r="C541" s="4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1"/>
      <c r="C542" s="4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1"/>
      <c r="C543" s="4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1"/>
      <c r="C544" s="4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1"/>
      <c r="C545" s="4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1"/>
      <c r="C546" s="4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1"/>
      <c r="C547" s="4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1"/>
      <c r="C548" s="4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1"/>
      <c r="C549" s="4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1"/>
      <c r="C550" s="4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1"/>
      <c r="C551" s="4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1"/>
      <c r="C552" s="4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1"/>
      <c r="C553" s="4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1"/>
      <c r="C554" s="4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1"/>
      <c r="C555" s="4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1"/>
      <c r="C556" s="4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1"/>
      <c r="C557" s="4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1"/>
      <c r="C558" s="4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1"/>
      <c r="C559" s="4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1"/>
      <c r="C560" s="4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1"/>
      <c r="C561" s="4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1"/>
      <c r="C562" s="4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1"/>
      <c r="C563" s="4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1"/>
      <c r="C564" s="4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1"/>
      <c r="C565" s="4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1"/>
      <c r="C566" s="4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1"/>
      <c r="C567" s="4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1"/>
      <c r="C568" s="4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1"/>
      <c r="C569" s="4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1"/>
      <c r="C570" s="4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1"/>
      <c r="C571" s="4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1"/>
      <c r="C572" s="4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1"/>
      <c r="C573" s="4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1"/>
      <c r="C574" s="4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1"/>
      <c r="C575" s="4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1"/>
      <c r="C576" s="4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1"/>
      <c r="C577" s="4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1"/>
      <c r="C578" s="4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1"/>
      <c r="C579" s="4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1"/>
      <c r="C580" s="4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1"/>
      <c r="C581" s="4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1"/>
      <c r="C582" s="4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1"/>
      <c r="C583" s="4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1"/>
      <c r="C584" s="4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1"/>
      <c r="C585" s="4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1"/>
      <c r="C586" s="4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1"/>
      <c r="C587" s="4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1"/>
      <c r="C588" s="4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1"/>
      <c r="C589" s="4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1"/>
      <c r="C590" s="4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1"/>
      <c r="C591" s="4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1"/>
      <c r="C592" s="4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1"/>
      <c r="C593" s="4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1"/>
      <c r="C594" s="4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1"/>
      <c r="C595" s="4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1"/>
      <c r="C596" s="4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1"/>
      <c r="C597" s="4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1"/>
      <c r="C598" s="4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1"/>
      <c r="C599" s="4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1"/>
      <c r="C600" s="4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1"/>
      <c r="C601" s="4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1"/>
      <c r="C602" s="4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1"/>
      <c r="C603" s="4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1"/>
      <c r="C604" s="4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1"/>
      <c r="C605" s="4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1"/>
      <c r="C606" s="4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1"/>
      <c r="C607" s="4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1"/>
      <c r="C608" s="4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1"/>
      <c r="C609" s="4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1"/>
      <c r="C610" s="4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1"/>
      <c r="C611" s="4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1"/>
      <c r="C612" s="4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1"/>
      <c r="C613" s="4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1"/>
      <c r="C614" s="4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1"/>
      <c r="C615" s="4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1"/>
      <c r="C616" s="4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1"/>
      <c r="C617" s="4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1"/>
      <c r="C618" s="4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1"/>
      <c r="C619" s="4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1"/>
      <c r="C620" s="4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1"/>
      <c r="C621" s="4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1"/>
      <c r="C622" s="4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1"/>
      <c r="C623" s="4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1"/>
      <c r="C624" s="4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1"/>
      <c r="C625" s="4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1"/>
      <c r="C626" s="4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1"/>
      <c r="C627" s="4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1"/>
      <c r="C628" s="4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1"/>
      <c r="C629" s="4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1"/>
      <c r="C630" s="4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1"/>
      <c r="C631" s="4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1"/>
      <c r="C632" s="4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1"/>
      <c r="C633" s="4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1"/>
      <c r="C634" s="4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1"/>
      <c r="C635" s="4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1"/>
      <c r="C636" s="4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1"/>
      <c r="C637" s="4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1"/>
      <c r="C638" s="4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1"/>
      <c r="C639" s="4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1"/>
      <c r="C640" s="4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1"/>
      <c r="C641" s="4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1"/>
      <c r="C642" s="4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1"/>
      <c r="C643" s="4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1"/>
      <c r="C644" s="4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1"/>
      <c r="C645" s="4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1"/>
      <c r="C646" s="4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1"/>
      <c r="C647" s="4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1"/>
      <c r="C648" s="4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1"/>
      <c r="C649" s="4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1"/>
      <c r="C650" s="4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1"/>
      <c r="C651" s="4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1"/>
      <c r="C652" s="4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1"/>
      <c r="C653" s="4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1"/>
      <c r="C654" s="4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1"/>
      <c r="C655" s="4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1"/>
      <c r="C656" s="4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1"/>
      <c r="C657" s="4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1"/>
      <c r="C658" s="4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1"/>
      <c r="C659" s="4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1"/>
      <c r="C660" s="4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1"/>
      <c r="C661" s="4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1"/>
      <c r="C662" s="4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1"/>
      <c r="C663" s="4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1"/>
      <c r="C664" s="4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1"/>
      <c r="C665" s="4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1"/>
      <c r="C666" s="4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1"/>
      <c r="C667" s="4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1"/>
      <c r="C668" s="4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1"/>
      <c r="C669" s="4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1"/>
      <c r="C670" s="4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1"/>
      <c r="C671" s="4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1"/>
      <c r="C672" s="4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1"/>
      <c r="C673" s="4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1"/>
      <c r="C674" s="4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1"/>
      <c r="C675" s="4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1"/>
      <c r="C676" s="4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1"/>
      <c r="C677" s="4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1"/>
      <c r="C678" s="4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1"/>
      <c r="C679" s="4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1"/>
      <c r="C680" s="4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1"/>
      <c r="C681" s="4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1"/>
      <c r="C682" s="4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1"/>
      <c r="C683" s="4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1"/>
      <c r="C684" s="4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1"/>
      <c r="C685" s="4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1"/>
      <c r="C686" s="4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1"/>
      <c r="C687" s="4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1"/>
      <c r="C688" s="4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1"/>
      <c r="C689" s="4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1"/>
      <c r="C690" s="4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1"/>
      <c r="C691" s="4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1"/>
      <c r="C692" s="4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1"/>
      <c r="C693" s="4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1"/>
      <c r="C694" s="4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1"/>
      <c r="C695" s="4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1"/>
      <c r="C696" s="4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1"/>
      <c r="C697" s="4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1"/>
      <c r="C698" s="4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1"/>
      <c r="C699" s="4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1"/>
      <c r="C700" s="4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1"/>
      <c r="C701" s="4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1"/>
      <c r="C702" s="4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1"/>
      <c r="C703" s="4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1"/>
      <c r="C704" s="4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1"/>
      <c r="C705" s="4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1"/>
      <c r="C706" s="4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1"/>
      <c r="C707" s="4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1"/>
      <c r="C708" s="4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1"/>
      <c r="C709" s="4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1"/>
      <c r="C710" s="4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1"/>
      <c r="C711" s="4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1"/>
      <c r="C712" s="4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1"/>
      <c r="C713" s="4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1"/>
      <c r="C714" s="4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1"/>
      <c r="C715" s="4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1"/>
      <c r="C716" s="4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1"/>
      <c r="C717" s="4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1"/>
      <c r="C718" s="4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1"/>
      <c r="C719" s="4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1"/>
      <c r="C720" s="4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1"/>
      <c r="C721" s="4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1"/>
      <c r="C722" s="4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1"/>
      <c r="C723" s="4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1"/>
      <c r="C724" s="4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1"/>
      <c r="C725" s="4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1"/>
      <c r="C726" s="4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1"/>
      <c r="C727" s="4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1"/>
      <c r="C728" s="4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1"/>
      <c r="C729" s="4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1"/>
      <c r="C730" s="4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1"/>
      <c r="C731" s="4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1"/>
      <c r="C732" s="4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1"/>
      <c r="C733" s="4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1"/>
      <c r="C734" s="4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1"/>
      <c r="C735" s="4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1"/>
      <c r="C736" s="4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1"/>
      <c r="C737" s="4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1"/>
      <c r="C738" s="4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1"/>
      <c r="C739" s="4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1"/>
      <c r="C740" s="4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1"/>
      <c r="C741" s="4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1"/>
      <c r="C742" s="4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1"/>
      <c r="C743" s="4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1"/>
      <c r="C744" s="4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1"/>
      <c r="C745" s="4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1"/>
      <c r="C746" s="4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1"/>
      <c r="C747" s="4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1"/>
      <c r="C748" s="4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1"/>
      <c r="C749" s="4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1"/>
      <c r="C750" s="4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1"/>
      <c r="C751" s="4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1"/>
      <c r="C752" s="4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1"/>
      <c r="C753" s="4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1"/>
      <c r="C754" s="4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1"/>
      <c r="C755" s="4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1"/>
      <c r="C756" s="4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1"/>
      <c r="C757" s="4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1"/>
      <c r="C758" s="4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1"/>
      <c r="C759" s="4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1"/>
      <c r="C760" s="4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1"/>
      <c r="C761" s="4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1"/>
      <c r="C762" s="4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1"/>
      <c r="C763" s="4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1"/>
      <c r="C764" s="4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1"/>
      <c r="C765" s="4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1"/>
      <c r="C766" s="4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1"/>
      <c r="C767" s="4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1"/>
      <c r="C768" s="4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1"/>
      <c r="C769" s="4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1"/>
      <c r="C770" s="4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1"/>
      <c r="C771" s="4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1"/>
      <c r="C772" s="4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1"/>
      <c r="C773" s="4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1"/>
      <c r="C774" s="4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1"/>
      <c r="C775" s="4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1"/>
      <c r="C776" s="4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1"/>
      <c r="C777" s="4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1"/>
      <c r="C778" s="4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1"/>
      <c r="C779" s="4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1"/>
      <c r="C780" s="4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1"/>
      <c r="C781" s="4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1"/>
      <c r="C782" s="4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1"/>
      <c r="C783" s="4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1"/>
      <c r="C784" s="4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1"/>
      <c r="C785" s="4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1"/>
      <c r="C786" s="4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1"/>
      <c r="C787" s="4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1"/>
      <c r="C788" s="4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1"/>
      <c r="C789" s="4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1"/>
      <c r="C790" s="4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1"/>
      <c r="C791" s="4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1"/>
      <c r="C792" s="4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1"/>
      <c r="C793" s="4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1"/>
      <c r="C794" s="4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1"/>
      <c r="C795" s="4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1"/>
      <c r="C796" s="4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1"/>
      <c r="C797" s="4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1"/>
      <c r="C798" s="4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1"/>
      <c r="C799" s="4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1"/>
      <c r="C800" s="4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1"/>
      <c r="C801" s="4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1"/>
      <c r="C802" s="4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1"/>
      <c r="C803" s="4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1"/>
      <c r="C804" s="4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1"/>
      <c r="C805" s="4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1"/>
      <c r="C806" s="4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1"/>
      <c r="C807" s="4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1"/>
      <c r="C808" s="4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1"/>
      <c r="C809" s="4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1"/>
      <c r="C810" s="4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1"/>
      <c r="C811" s="4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1"/>
      <c r="C812" s="4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1"/>
      <c r="C813" s="4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1"/>
      <c r="C814" s="4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1"/>
      <c r="C815" s="4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1"/>
      <c r="C816" s="4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1"/>
      <c r="C817" s="4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1"/>
      <c r="C818" s="4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1"/>
      <c r="C819" s="4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1"/>
      <c r="C820" s="4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1"/>
      <c r="C821" s="4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1"/>
      <c r="C822" s="4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1"/>
      <c r="C823" s="4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1"/>
      <c r="C824" s="4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1"/>
      <c r="C825" s="4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1"/>
      <c r="C826" s="4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1"/>
      <c r="C827" s="4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1"/>
      <c r="C828" s="4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1"/>
      <c r="C829" s="4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1"/>
      <c r="C830" s="4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1"/>
      <c r="C831" s="4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1"/>
      <c r="C832" s="4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1"/>
      <c r="C833" s="4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1"/>
      <c r="C834" s="4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1"/>
      <c r="C835" s="4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1"/>
      <c r="C836" s="4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1"/>
      <c r="C837" s="4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1"/>
      <c r="C838" s="4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1"/>
      <c r="C839" s="4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1"/>
      <c r="C840" s="4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1"/>
      <c r="C841" s="4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1"/>
      <c r="C842" s="4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1"/>
      <c r="C843" s="4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1"/>
      <c r="C844" s="4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1"/>
      <c r="C845" s="4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1"/>
      <c r="C846" s="4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1"/>
      <c r="C847" s="4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1"/>
      <c r="C848" s="4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1"/>
      <c r="C849" s="4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1"/>
      <c r="C850" s="4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1"/>
      <c r="C851" s="4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1"/>
      <c r="C852" s="4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1"/>
      <c r="C853" s="4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1"/>
      <c r="C854" s="4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1"/>
      <c r="C855" s="4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1"/>
      <c r="C856" s="4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1"/>
      <c r="C857" s="4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1"/>
      <c r="C858" s="4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1"/>
      <c r="C859" s="4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1"/>
      <c r="C860" s="4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1"/>
      <c r="C861" s="4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1"/>
      <c r="C862" s="4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1"/>
      <c r="C863" s="4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1"/>
      <c r="C864" s="4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1"/>
      <c r="C865" s="4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1"/>
      <c r="C866" s="4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1"/>
      <c r="C867" s="4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1"/>
      <c r="C868" s="4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1"/>
      <c r="C869" s="4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1"/>
      <c r="C870" s="4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1"/>
      <c r="C871" s="4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1"/>
      <c r="C872" s="4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1"/>
      <c r="C873" s="4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1"/>
      <c r="C874" s="4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1"/>
      <c r="C875" s="4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1"/>
      <c r="C876" s="4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1"/>
      <c r="C877" s="4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1"/>
      <c r="C878" s="4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1"/>
      <c r="C879" s="4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1"/>
      <c r="C880" s="4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1"/>
      <c r="C881" s="4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1"/>
      <c r="C882" s="4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1"/>
      <c r="C883" s="4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1"/>
      <c r="C884" s="4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1"/>
      <c r="C885" s="4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1"/>
      <c r="C886" s="4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1"/>
      <c r="C887" s="4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1"/>
      <c r="C888" s="4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1"/>
      <c r="C889" s="4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1"/>
      <c r="C890" s="4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1"/>
      <c r="C891" s="4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1"/>
      <c r="C892" s="4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1"/>
      <c r="C893" s="4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1"/>
      <c r="C894" s="4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1"/>
      <c r="C895" s="4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1"/>
      <c r="C896" s="4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1"/>
      <c r="C897" s="4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1"/>
      <c r="C898" s="4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1"/>
      <c r="C899" s="4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1"/>
      <c r="C900" s="4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1"/>
      <c r="C901" s="4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1"/>
      <c r="C902" s="4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1"/>
      <c r="C903" s="4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1"/>
      <c r="C904" s="4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1"/>
      <c r="C905" s="4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1"/>
      <c r="C906" s="4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1"/>
      <c r="C907" s="4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1"/>
      <c r="C908" s="4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1"/>
      <c r="C909" s="4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1"/>
      <c r="C910" s="4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1"/>
      <c r="C911" s="4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1"/>
      <c r="C912" s="4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1"/>
      <c r="C913" s="4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1"/>
      <c r="C914" s="4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1"/>
      <c r="C915" s="4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1"/>
      <c r="C916" s="4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1"/>
      <c r="C917" s="4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1"/>
      <c r="C918" s="4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1"/>
      <c r="C919" s="4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1"/>
      <c r="C920" s="4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1"/>
      <c r="C921" s="4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1"/>
      <c r="C922" s="4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1"/>
      <c r="C923" s="4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1"/>
      <c r="C924" s="4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1"/>
      <c r="C925" s="4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1"/>
      <c r="C926" s="4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1"/>
      <c r="C927" s="4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1"/>
      <c r="C928" s="4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1"/>
      <c r="C929" s="4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1"/>
      <c r="C930" s="4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1"/>
      <c r="C931" s="4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1"/>
      <c r="C932" s="4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1"/>
      <c r="C933" s="4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1"/>
      <c r="C934" s="4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1"/>
      <c r="C935" s="4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1"/>
      <c r="C936" s="4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1"/>
      <c r="C937" s="4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1"/>
      <c r="C938" s="4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1"/>
      <c r="C939" s="4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1"/>
      <c r="C940" s="4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1"/>
      <c r="C941" s="4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1"/>
      <c r="C942" s="4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1"/>
      <c r="C943" s="4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1"/>
      <c r="C944" s="4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1"/>
      <c r="C945" s="4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1"/>
      <c r="C946" s="4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1"/>
      <c r="C947" s="4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1"/>
      <c r="C948" s="4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1"/>
      <c r="C949" s="4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1"/>
      <c r="C950" s="4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1"/>
      <c r="C951" s="4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1"/>
      <c r="C952" s="4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1"/>
      <c r="C953" s="4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1"/>
      <c r="C954" s="4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1"/>
      <c r="C955" s="4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1"/>
      <c r="C956" s="4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1"/>
      <c r="C957" s="4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1"/>
      <c r="C958" s="4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1"/>
      <c r="C959" s="4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1"/>
      <c r="C960" s="4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1"/>
      <c r="C961" s="4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1"/>
      <c r="C962" s="4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1"/>
      <c r="C963" s="4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1"/>
      <c r="C964" s="4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1"/>
      <c r="C965" s="4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1"/>
      <c r="C966" s="4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1"/>
      <c r="C967" s="4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1"/>
      <c r="C968" s="4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1"/>
      <c r="C969" s="4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1"/>
      <c r="C970" s="4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1"/>
      <c r="C971" s="4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1"/>
      <c r="C972" s="4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1"/>
      <c r="C973" s="4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1"/>
      <c r="C974" s="4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1"/>
      <c r="C975" s="4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1"/>
      <c r="C976" s="4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1"/>
      <c r="C977" s="4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1"/>
      <c r="C978" s="4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1"/>
      <c r="C979" s="4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1"/>
      <c r="C980" s="4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1"/>
      <c r="C981" s="4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1"/>
      <c r="C982" s="4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1"/>
      <c r="C983" s="4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1"/>
      <c r="C984" s="4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1"/>
      <c r="C985" s="4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1"/>
      <c r="C986" s="4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1"/>
      <c r="C987" s="4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1"/>
      <c r="C988" s="4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1"/>
      <c r="C989" s="4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1"/>
      <c r="C990" s="4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1"/>
      <c r="C991" s="4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1"/>
      <c r="C992" s="4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1"/>
      <c r="C993" s="4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1"/>
      <c r="C994" s="4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1"/>
      <c r="C995" s="4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1"/>
      <c r="C996" s="4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1"/>
      <c r="C997" s="4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1"/>
      <c r="C998" s="4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1"/>
      <c r="C999" s="4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1"/>
      <c r="C1000" s="4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21"/>
      <c r="C1001" s="4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21"/>
      <c r="C1002" s="42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21"/>
      <c r="C1003" s="42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21"/>
      <c r="C1004" s="42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21"/>
      <c r="C1005" s="42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21"/>
      <c r="C1006" s="42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21"/>
      <c r="C1007" s="42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21"/>
      <c r="C1008" s="42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21"/>
      <c r="C1009" s="42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21"/>
      <c r="C1010" s="42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</sheetData>
  <mergeCells count="3">
    <mergeCell ref="A150:D150"/>
    <mergeCell ref="A187:D187"/>
    <mergeCell ref="A197:D197"/>
  </mergeCells>
  <conditionalFormatting sqref="C1:C149 C151:C186 C188:C196 C198:C1010">
    <cfRule type="notContainsBlanks" dxfId="0" priority="1">
      <formula>LEN(TRIM(C1))&gt;0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13"/>
    <col customWidth="1" min="3" max="3" width="28.75"/>
    <col customWidth="1" min="4" max="4" width="30.5"/>
    <col customWidth="1" min="5" max="5" width="14.38"/>
  </cols>
  <sheetData>
    <row r="1">
      <c r="A1" s="44"/>
      <c r="B1" s="44" t="s">
        <v>273</v>
      </c>
    </row>
    <row r="2">
      <c r="A2" s="45" t="s">
        <v>274</v>
      </c>
      <c r="B2" s="45" t="s">
        <v>275</v>
      </c>
      <c r="C2" s="45" t="s">
        <v>276</v>
      </c>
      <c r="D2" s="45" t="s">
        <v>277</v>
      </c>
      <c r="E2" s="45" t="s">
        <v>278</v>
      </c>
    </row>
    <row r="3">
      <c r="A3" s="46" t="s">
        <v>279</v>
      </c>
      <c r="B3" s="46" t="s">
        <v>280</v>
      </c>
      <c r="C3" s="11" t="s">
        <v>281</v>
      </c>
      <c r="D3" s="47" t="s">
        <v>282</v>
      </c>
      <c r="E3" s="47" t="s">
        <v>283</v>
      </c>
    </row>
    <row r="4">
      <c r="A4" s="48"/>
      <c r="B4" s="48"/>
      <c r="C4" s="11" t="s">
        <v>284</v>
      </c>
      <c r="D4" s="48"/>
      <c r="E4" s="48"/>
    </row>
    <row r="5">
      <c r="A5" s="49"/>
      <c r="B5" s="49"/>
      <c r="C5" s="11" t="s">
        <v>285</v>
      </c>
      <c r="D5" s="49"/>
      <c r="E5" s="49"/>
    </row>
    <row r="6">
      <c r="A6" s="47" t="s">
        <v>279</v>
      </c>
      <c r="B6" s="47" t="s">
        <v>286</v>
      </c>
      <c r="C6" s="11" t="s">
        <v>287</v>
      </c>
      <c r="D6" s="47" t="s">
        <v>288</v>
      </c>
      <c r="E6" s="47" t="s">
        <v>283</v>
      </c>
    </row>
    <row r="7">
      <c r="A7" s="48"/>
      <c r="B7" s="48"/>
      <c r="C7" s="11" t="s">
        <v>284</v>
      </c>
      <c r="D7" s="49"/>
      <c r="E7" s="48"/>
    </row>
    <row r="8">
      <c r="A8" s="48"/>
      <c r="B8" s="48"/>
      <c r="C8" s="11" t="s">
        <v>289</v>
      </c>
      <c r="D8" s="47" t="s">
        <v>290</v>
      </c>
      <c r="E8" s="48"/>
    </row>
    <row r="9">
      <c r="A9" s="48"/>
      <c r="B9" s="48"/>
      <c r="C9" s="11" t="s">
        <v>291</v>
      </c>
      <c r="D9" s="48"/>
      <c r="E9" s="48"/>
    </row>
    <row r="10">
      <c r="A10" s="49"/>
      <c r="B10" s="49"/>
      <c r="C10" s="11" t="s">
        <v>292</v>
      </c>
      <c r="D10" s="49"/>
      <c r="E10" s="49"/>
    </row>
    <row r="11">
      <c r="A11" s="47" t="s">
        <v>279</v>
      </c>
      <c r="B11" s="47" t="s">
        <v>293</v>
      </c>
      <c r="C11" s="11" t="s">
        <v>294</v>
      </c>
      <c r="D11" s="47" t="s">
        <v>295</v>
      </c>
      <c r="E11" s="47" t="s">
        <v>283</v>
      </c>
    </row>
    <row r="12">
      <c r="A12" s="48"/>
      <c r="B12" s="48"/>
      <c r="C12" s="11" t="s">
        <v>296</v>
      </c>
      <c r="D12" s="48"/>
      <c r="E12" s="48"/>
    </row>
    <row r="13">
      <c r="A13" s="48"/>
      <c r="B13" s="48"/>
      <c r="C13" s="11" t="s">
        <v>297</v>
      </c>
      <c r="D13" s="49"/>
      <c r="E13" s="49"/>
    </row>
    <row r="14">
      <c r="A14" s="48"/>
      <c r="B14" s="48"/>
      <c r="C14" s="11" t="s">
        <v>298</v>
      </c>
      <c r="D14" s="47" t="s">
        <v>299</v>
      </c>
      <c r="E14" s="47" t="s">
        <v>300</v>
      </c>
    </row>
    <row r="15">
      <c r="A15" s="49"/>
      <c r="B15" s="49"/>
      <c r="C15" s="11" t="s">
        <v>301</v>
      </c>
      <c r="D15" s="49"/>
      <c r="E15" s="49"/>
    </row>
    <row r="16">
      <c r="A16" s="47" t="s">
        <v>302</v>
      </c>
      <c r="B16" s="47" t="s">
        <v>303</v>
      </c>
      <c r="C16" s="11" t="s">
        <v>304</v>
      </c>
      <c r="D16" s="47" t="s">
        <v>305</v>
      </c>
      <c r="E16" s="50"/>
    </row>
    <row r="17">
      <c r="A17" s="48"/>
      <c r="B17" s="48"/>
      <c r="C17" s="11" t="s">
        <v>306</v>
      </c>
      <c r="D17" s="48"/>
      <c r="E17" s="48"/>
    </row>
    <row r="18">
      <c r="A18" s="49"/>
      <c r="B18" s="49"/>
      <c r="C18" s="11" t="s">
        <v>307</v>
      </c>
      <c r="D18" s="49"/>
      <c r="E18" s="49"/>
    </row>
    <row r="19">
      <c r="A19" s="47" t="s">
        <v>279</v>
      </c>
      <c r="B19" s="47" t="s">
        <v>308</v>
      </c>
      <c r="C19" s="11" t="s">
        <v>309</v>
      </c>
      <c r="D19" s="47" t="s">
        <v>310</v>
      </c>
      <c r="E19" s="50"/>
    </row>
    <row r="20">
      <c r="A20" s="48"/>
      <c r="B20" s="48"/>
      <c r="C20" s="11" t="s">
        <v>297</v>
      </c>
      <c r="D20" s="48"/>
      <c r="E20" s="48"/>
    </row>
    <row r="21">
      <c r="A21" s="48"/>
      <c r="B21" s="48"/>
      <c r="C21" s="11" t="s">
        <v>311</v>
      </c>
      <c r="D21" s="48"/>
      <c r="E21" s="48"/>
    </row>
    <row r="22">
      <c r="A22" s="49"/>
      <c r="B22" s="49"/>
      <c r="C22" s="11" t="s">
        <v>296</v>
      </c>
      <c r="D22" s="49"/>
      <c r="E22" s="49"/>
    </row>
  </sheetData>
  <mergeCells count="24">
    <mergeCell ref="A6:A10"/>
    <mergeCell ref="A11:A15"/>
    <mergeCell ref="B11:B15"/>
    <mergeCell ref="A16:A18"/>
    <mergeCell ref="B16:B18"/>
    <mergeCell ref="A19:A22"/>
    <mergeCell ref="B19:B22"/>
    <mergeCell ref="B1:E1"/>
    <mergeCell ref="A3:A5"/>
    <mergeCell ref="B3:B5"/>
    <mergeCell ref="D3:D5"/>
    <mergeCell ref="B6:B10"/>
    <mergeCell ref="D6:D7"/>
    <mergeCell ref="D8:D10"/>
    <mergeCell ref="D16:D18"/>
    <mergeCell ref="D19:D22"/>
    <mergeCell ref="E19:E22"/>
    <mergeCell ref="E3:E5"/>
    <mergeCell ref="E6:E10"/>
    <mergeCell ref="D11:D13"/>
    <mergeCell ref="E11:E13"/>
    <mergeCell ref="D14:D15"/>
    <mergeCell ref="E14:E15"/>
    <mergeCell ref="E16:E18"/>
  </mergeCells>
  <drawing r:id="rId1"/>
</worksheet>
</file>